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86AD63-D694-4CE0-B23A-E508D8A72BC5}" xr6:coauthVersionLast="47" xr6:coauthVersionMax="47" xr10:uidLastSave="{00000000-0000-0000-0000-000000000000}"/>
  <bookViews>
    <workbookView xWindow="-120" yWindow="-120" windowWidth="29040" windowHeight="15720" xr2:uid="{674754C6-4DC0-4259-82E9-3FEF66CA3662}"/>
  </bookViews>
  <sheets>
    <sheet name="제1작업" sheetId="1" r:id="rId1"/>
    <sheet name="제2작업" sheetId="2" r:id="rId2"/>
    <sheet name="제3작업" sheetId="3" r:id="rId3"/>
    <sheet name="제4작업" sheetId="4" r:id="rId4"/>
  </sheets>
  <definedNames>
    <definedName name="_xlnm._FilterDatabase" localSheetId="1" hidden="1">제2작업!$B$2:$H$10</definedName>
    <definedName name="_xlnm.Criteria" localSheetId="1">제2작업!$B$14:$C$15</definedName>
    <definedName name="_xlnm.Extract" localSheetId="1">제2작업!$B$18:$E$18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3" l="1"/>
  <c r="G11" i="3"/>
  <c r="G6" i="3"/>
  <c r="G17" i="3" s="1"/>
  <c r="B16" i="3"/>
  <c r="B12" i="3"/>
  <c r="B7" i="3"/>
  <c r="B18" i="3" s="1"/>
  <c r="H11" i="2"/>
  <c r="J13" i="1"/>
  <c r="J14" i="1"/>
  <c r="E14" i="1"/>
  <c r="E13" i="1"/>
  <c r="J6" i="1"/>
  <c r="J7" i="1"/>
  <c r="J8" i="1"/>
  <c r="J9" i="1"/>
  <c r="J10" i="1"/>
  <c r="J11" i="1"/>
  <c r="J12" i="1"/>
  <c r="J5" i="1"/>
  <c r="I6" i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<sst xmlns="http://schemas.openxmlformats.org/spreadsheetml/2006/main" count="122" uniqueCount="38">
  <si>
    <t>모델명</t>
    <phoneticPr fontId="2" type="noConversion"/>
  </si>
  <si>
    <t>제조사</t>
    <phoneticPr fontId="2" type="noConversion"/>
  </si>
  <si>
    <t>구분</t>
    <phoneticPr fontId="2" type="noConversion"/>
  </si>
  <si>
    <t>출시일</t>
    <phoneticPr fontId="2" type="noConversion"/>
  </si>
  <si>
    <t>가격</t>
    <phoneticPr fontId="2" type="noConversion"/>
  </si>
  <si>
    <t>판매수량
(단위:대)</t>
    <phoneticPr fontId="2" type="noConversion"/>
  </si>
  <si>
    <t>에너지소비
효율등급</t>
    <phoneticPr fontId="2" type="noConversion"/>
  </si>
  <si>
    <t>판매순위</t>
    <phoneticPr fontId="2" type="noConversion"/>
  </si>
  <si>
    <t>스마트기능</t>
    <phoneticPr fontId="2" type="noConversion"/>
  </si>
  <si>
    <t>DE2-81</t>
  </si>
  <si>
    <t>DE2-81</t>
    <phoneticPr fontId="2" type="noConversion"/>
  </si>
  <si>
    <t>ST4-52</t>
    <phoneticPr fontId="2" type="noConversion"/>
  </si>
  <si>
    <t>DQ2-71</t>
    <phoneticPr fontId="2" type="noConversion"/>
  </si>
  <si>
    <t>ME2-91</t>
    <phoneticPr fontId="2" type="noConversion"/>
  </si>
  <si>
    <t>GB6-72</t>
    <phoneticPr fontId="2" type="noConversion"/>
  </si>
  <si>
    <t>HS7-72</t>
    <phoneticPr fontId="2" type="noConversion"/>
  </si>
  <si>
    <t>EE5-52</t>
    <phoneticPr fontId="2" type="noConversion"/>
  </si>
  <si>
    <t>HX4-42</t>
    <phoneticPr fontId="2" type="noConversion"/>
  </si>
  <si>
    <t>대상전자</t>
    <phoneticPr fontId="2" type="noConversion"/>
  </si>
  <si>
    <t>현진전자</t>
    <phoneticPr fontId="2" type="noConversion"/>
  </si>
  <si>
    <t>하나전자</t>
    <phoneticPr fontId="2" type="noConversion"/>
  </si>
  <si>
    <t>냉장고</t>
    <phoneticPr fontId="2" type="noConversion"/>
  </si>
  <si>
    <t>공기청정기</t>
    <phoneticPr fontId="2" type="noConversion"/>
  </si>
  <si>
    <t>건조기</t>
    <phoneticPr fontId="2" type="noConversion"/>
  </si>
  <si>
    <t>최저 가격</t>
    <phoneticPr fontId="2" type="noConversion"/>
  </si>
  <si>
    <t>판매수량(단위:대)이 평균 이상인 모델수</t>
    <phoneticPr fontId="2" type="noConversion"/>
  </si>
  <si>
    <t>건조기 판매수량(단위:대) 합계</t>
    <phoneticPr fontId="2" type="noConversion"/>
  </si>
  <si>
    <t>냉장고 판매수량(단위:대) 평균</t>
    <phoneticPr fontId="2" type="noConversion"/>
  </si>
  <si>
    <t>&lt;&gt;대성전자</t>
    <phoneticPr fontId="2" type="noConversion"/>
  </si>
  <si>
    <t>&gt;=1000000</t>
    <phoneticPr fontId="2" type="noConversion"/>
  </si>
  <si>
    <t>현진전자 개수</t>
  </si>
  <si>
    <t>하나전자 개수</t>
  </si>
  <si>
    <t>대상전자 개수</t>
  </si>
  <si>
    <t>전체 개수</t>
  </si>
  <si>
    <t>현진전자 평균</t>
  </si>
  <si>
    <t>하나전자 평균</t>
  </si>
  <si>
    <t>대상전자 평균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</si>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</sst>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3" fontId="0" fillId="0" borderId="2" xfId="0" applyNumberFormat="1" applyBorder="1">
      <alignment vertical="center"/>
    </xf>
    <xf numFmtId="3" fontId="0" fillId="0" borderId="1" xfId="0" applyNumberFormat="1" applyBorder="1">
      <alignment vertical="center"/>
    </xf>
    <xf numFmtId="3" fontId="0" fillId="0" borderId="14" xfId="0" applyNumberFormat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76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3" fontId="0" fillId="0" borderId="11" xfId="0" applyNumberFormat="1" applyBorder="1">
      <alignment vertical="center"/>
    </xf>
  </cellXfs>
  <cellStyles count="1">
    <cellStyle name="표준" xfId="0" builtinId="0"/>
  </cellStyles>
  <dxfs count="9"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dk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 b="1">
                <a:solidFill>
                  <a:schemeClr val="dk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rPr>
              <a:t>현진전자 및 하나전자 제품 판매 현황</a:t>
            </a:r>
            <a:endParaRPr lang="en-US" altLang="ko-KR" sz="2000" b="1">
              <a:solidFill>
                <a:schemeClr val="dk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endParaRPr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dk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제1작업!$F$4</c:f>
              <c:strCache>
                <c:ptCount val="1"/>
                <c:pt idx="0">
                  <c:v>가격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제1작업!$B$5:$B$12</c15:sqref>
                  </c15:fullRef>
                </c:ext>
              </c:extLst>
              <c:f>(제1작업!$B$6:$B$10,제1작업!$B$12)</c:f>
              <c:strCache>
                <c:ptCount val="6"/>
                <c:pt idx="0">
                  <c:v>ST4-52</c:v>
                </c:pt>
                <c:pt idx="1">
                  <c:v>DQ2-71</c:v>
                </c:pt>
                <c:pt idx="2">
                  <c:v>ME2-91</c:v>
                </c:pt>
                <c:pt idx="3">
                  <c:v>GB6-72</c:v>
                </c:pt>
                <c:pt idx="4">
                  <c:v>HS7-72</c:v>
                </c:pt>
                <c:pt idx="5">
                  <c:v>HX4-42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제1작업!$F$5:$F$12</c15:sqref>
                  </c15:fullRef>
                </c:ext>
              </c:extLst>
              <c:f>(제1작업!$F$6:$F$10,제1작업!$F$12)</c:f>
              <c:numCache>
                <c:formatCode>#,##0"원"</c:formatCode>
                <c:ptCount val="6"/>
                <c:pt idx="0">
                  <c:v>394000</c:v>
                </c:pt>
                <c:pt idx="1">
                  <c:v>1826490</c:v>
                </c:pt>
                <c:pt idx="2">
                  <c:v>315850</c:v>
                </c:pt>
                <c:pt idx="3">
                  <c:v>1239180</c:v>
                </c:pt>
                <c:pt idx="4">
                  <c:v>1447300</c:v>
                </c:pt>
                <c:pt idx="5">
                  <c:v>825000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D-457D-BBA4-22C855A42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95050832"/>
        <c:axId val="795042512"/>
      </c:barChart>
      <c:lineChart>
        <c:grouping val="standard"/>
        <c:varyColors val="0"/>
        <c:ser>
          <c:idx val="1"/>
          <c:order val="1"/>
          <c:tx>
            <c:v>판매수량(단위:대)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E3D-457D-BBA4-22C855A42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제1작업!$B$5:$B$12</c15:sqref>
                  </c15:fullRef>
                </c:ext>
              </c:extLst>
              <c:f>(제1작업!$B$6:$B$10,제1작업!$B$12)</c:f>
              <c:strCache>
                <c:ptCount val="6"/>
                <c:pt idx="0">
                  <c:v>ST4-52</c:v>
                </c:pt>
                <c:pt idx="1">
                  <c:v>DQ2-71</c:v>
                </c:pt>
                <c:pt idx="2">
                  <c:v>ME2-91</c:v>
                </c:pt>
                <c:pt idx="3">
                  <c:v>GB6-72</c:v>
                </c:pt>
                <c:pt idx="4">
                  <c:v>HS7-72</c:v>
                </c:pt>
                <c:pt idx="5">
                  <c:v>HX4-42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제1작업!$G$5:$G$12</c15:sqref>
                  </c15:fullRef>
                </c:ext>
              </c:extLst>
              <c:f>(제1작업!$G$6:$G$10,제1작업!$G$12)</c:f>
              <c:numCache>
                <c:formatCode>#,##0</c:formatCode>
                <c:ptCount val="6"/>
                <c:pt idx="0">
                  <c:v>3045</c:v>
                </c:pt>
                <c:pt idx="1">
                  <c:v>2336</c:v>
                </c:pt>
                <c:pt idx="2">
                  <c:v>2250</c:v>
                </c:pt>
                <c:pt idx="3">
                  <c:v>3164</c:v>
                </c:pt>
                <c:pt idx="4">
                  <c:v>2307</c:v>
                </c:pt>
                <c:pt idx="5">
                  <c:v>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D-457D-BBA4-22C855A42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702928"/>
        <c:axId val="1077698352"/>
      </c:lineChart>
      <c:catAx>
        <c:axId val="795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5042512"/>
        <c:crosses val="autoZero"/>
        <c:auto val="1"/>
        <c:lblAlgn val="ctr"/>
        <c:lblOffset val="100"/>
        <c:noMultiLvlLbl val="0"/>
      </c:catAx>
      <c:valAx>
        <c:axId val="7950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#,##0&quot;원&quot;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5050832"/>
        <c:crosses val="autoZero"/>
        <c:crossBetween val="between"/>
      </c:valAx>
      <c:valAx>
        <c:axId val="1077698352"/>
        <c:scaling>
          <c:orientation val="minMax"/>
          <c:max val="4000"/>
        </c:scaling>
        <c:delete val="0"/>
        <c:axPos val="r"/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7702928"/>
        <c:crosses val="max"/>
        <c:crossBetween val="between"/>
        <c:majorUnit val="1000"/>
      </c:valAx>
      <c:catAx>
        <c:axId val="10777029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77698352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BE0B9A-AF4A-460E-8B7E-3E03F6F438FF}">
  <sheetPr/>
  <sheetViews>
    <sheetView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85725</xdr:rowOff>
    </xdr:from>
    <xdr:to>
      <xdr:col>6</xdr:col>
      <xdr:colOff>295275</xdr:colOff>
      <xdr:row>2</xdr:row>
      <xdr:rowOff>238125</xdr:rowOff>
    </xdr:to>
    <xdr:sp macro="" textlink="">
      <xdr:nvSpPr>
        <xdr:cNvPr id="2" name="사다리꼴 1">
          <a:extLst>
            <a:ext uri="{FF2B5EF4-FFF2-40B4-BE49-F238E27FC236}">
              <a16:creationId xmlns:a16="http://schemas.microsoft.com/office/drawing/2014/main" id="{BC475375-2331-44EE-840B-0D2FF81C2A6E}"/>
            </a:ext>
          </a:extLst>
        </xdr:cNvPr>
        <xdr:cNvSpPr/>
      </xdr:nvSpPr>
      <xdr:spPr>
        <a:xfrm>
          <a:off x="161925" y="85725"/>
          <a:ext cx="4724400" cy="781050"/>
        </a:xfrm>
        <a:prstGeom prst="trapezoid">
          <a:avLst/>
        </a:prstGeom>
        <a:solidFill>
          <a:srgbClr val="FFFF00"/>
        </a:solidFill>
        <a:ln>
          <a:solidFill>
            <a:sysClr val="windowText" lastClr="000000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ysClr val="windowText" lastClr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온라인 가전제품 판매 현황</a:t>
          </a:r>
        </a:p>
      </xdr:txBody>
    </xdr:sp>
    <xdr:clientData/>
  </xdr:twoCellAnchor>
  <xdr:twoCellAnchor editAs="oneCell">
    <xdr:from>
      <xdr:col>6</xdr:col>
      <xdr:colOff>428625</xdr:colOff>
      <xdr:row>0</xdr:row>
      <xdr:rowOff>76200</xdr:rowOff>
    </xdr:from>
    <xdr:to>
      <xdr:col>10</xdr:col>
      <xdr:colOff>9525</xdr:colOff>
      <xdr:row>2</xdr:row>
      <xdr:rowOff>295275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B2D58A7-8557-4F7B-8A99-12771761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76200"/>
          <a:ext cx="2752725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5189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7A82FE8-9C1D-404D-9EF0-FF0C6C2849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0.66781</cdr:x>
      <cdr:y>0.13043</cdr:y>
    </cdr:from>
    <cdr:to>
      <cdr:x>0.81067</cdr:x>
      <cdr:y>0.20422</cdr:y>
    </cdr:to>
    <cdr:sp macro="" textlink="">
      <cdr:nvSpPr>
        <cdr:cNvPr id="2" name="말풍선: 모서리가 둥근 사각형 1">
          <a:extLst xmlns:a="http://schemas.openxmlformats.org/drawingml/2006/main">
            <a:ext uri="{FF2B5EF4-FFF2-40B4-BE49-F238E27FC236}">
              <a16:creationId xmlns:a16="http://schemas.microsoft.com/office/drawing/2014/main" id="{3170043A-2490-4663-8945-0C6C527A80A1}"/>
            </a:ext>
          </a:extLst>
        </cdr:cNvPr>
        <cdr:cNvSpPr/>
      </cdr:nvSpPr>
      <cdr:spPr>
        <a:xfrm xmlns:a="http://schemas.openxmlformats.org/drawingml/2006/main">
          <a:off x="6211261" y="792416"/>
          <a:ext cx="1328697" cy="448235"/>
        </a:xfrm>
        <a:prstGeom xmlns:a="http://schemas.openxmlformats.org/drawingml/2006/main" prst="wedgeRoundRectCallout">
          <a:avLst>
            <a:gd name="adj1" fmla="val 85058"/>
            <a:gd name="adj2" fmla="val 81508"/>
            <a:gd name="adj3" fmla="val 16667"/>
          </a:avLst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 sz="1100">
              <a:latin typeface="굴림" panose="020B0600000101010101" pitchFamily="50" charset="-127"/>
              <a:ea typeface="굴림" panose="020B0600000101010101" pitchFamily="50" charset="-127"/>
            </a:rPr>
            <a:t>최대 판매수량</a:t>
          </a:r>
          <a:endParaRPr lang="ko-KR" sz="1100">
            <a:latin typeface="굴림" panose="020B0600000101010101" pitchFamily="50" charset="-127"/>
            <a:ea typeface="굴림" panose="020B0600000101010101" pitchFamily="50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CDC5-3585-4E1A-A2E3-2E5E95FDDFB5}">
  <dimension ref="B1:J14"/>
  <sheetViews>
    <sheetView tabSelected="1" workbookViewId="0">
      <selection activeCell="M24" sqref="M24"/>
    </sheetView>
  </sheetViews>
  <sheetFormatPr defaultRowHeight="16.5" x14ac:dyDescent="0.3"/>
  <cols>
    <col min="1" max="1" width="1.625" customWidth="1"/>
    <col min="2" max="2" width="11.375" customWidth="1"/>
    <col min="3" max="3" width="13" customWidth="1"/>
    <col min="4" max="4" width="13.875" customWidth="1"/>
    <col min="5" max="5" width="12.5" bestFit="1" customWidth="1"/>
    <col min="6" max="6" width="12.75" bestFit="1" customWidth="1"/>
    <col min="7" max="7" width="9.125" bestFit="1" customWidth="1"/>
    <col min="8" max="8" width="12.5" customWidth="1"/>
    <col min="10" max="10" width="11" bestFit="1" customWidth="1"/>
    <col min="11" max="11" width="9" customWidth="1"/>
  </cols>
  <sheetData>
    <row r="1" spans="2:10" ht="24.95" customHeight="1" x14ac:dyDescent="0.3"/>
    <row r="2" spans="2:10" ht="24.95" customHeight="1" x14ac:dyDescent="0.3"/>
    <row r="3" spans="2:10" ht="24.95" customHeight="1" thickBot="1" x14ac:dyDescent="0.35"/>
    <row r="4" spans="2:10" ht="38.25" customHeight="1" thickBot="1" x14ac:dyDescent="0.35">
      <c r="B4" s="14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6" t="s">
        <v>5</v>
      </c>
      <c r="H4" s="16" t="s">
        <v>6</v>
      </c>
      <c r="I4" s="15" t="s">
        <v>7</v>
      </c>
      <c r="J4" s="17" t="s">
        <v>8</v>
      </c>
    </row>
    <row r="5" spans="2:10" x14ac:dyDescent="0.3">
      <c r="B5" s="18" t="s">
        <v>10</v>
      </c>
      <c r="C5" s="19" t="s">
        <v>18</v>
      </c>
      <c r="D5" s="19" t="s">
        <v>21</v>
      </c>
      <c r="E5" s="20">
        <v>43779</v>
      </c>
      <c r="F5" s="33">
        <v>2712800</v>
      </c>
      <c r="G5" s="27">
        <v>1389</v>
      </c>
      <c r="H5" s="3">
        <v>1</v>
      </c>
      <c r="I5" s="3">
        <f>_xlfn.RANK.EQ(G5,$G$5:$G$12)</f>
        <v>8</v>
      </c>
      <c r="J5" s="36" t="str">
        <f>CHOOSE(RIGHT(B5,1),"WIFI내장","")</f>
        <v>WIFI내장</v>
      </c>
    </row>
    <row r="6" spans="2:10" x14ac:dyDescent="0.3">
      <c r="B6" s="21" t="s">
        <v>11</v>
      </c>
      <c r="C6" s="22" t="s">
        <v>19</v>
      </c>
      <c r="D6" s="22" t="s">
        <v>22</v>
      </c>
      <c r="E6" s="23">
        <v>43596</v>
      </c>
      <c r="F6" s="34">
        <v>394000</v>
      </c>
      <c r="G6" s="28">
        <v>3045</v>
      </c>
      <c r="H6" s="2">
        <v>2</v>
      </c>
      <c r="I6" s="3">
        <f t="shared" ref="I6:I12" si="0">_xlfn.RANK.EQ(G6,$G$5:$G$12)</f>
        <v>3</v>
      </c>
      <c r="J6" s="36" t="str">
        <f t="shared" ref="J6:J12" si="1">CHOOSE(RIGHT(B6,1),"WIFI내장","")</f>
        <v/>
      </c>
    </row>
    <row r="7" spans="2:10" x14ac:dyDescent="0.3">
      <c r="B7" s="21" t="s">
        <v>12</v>
      </c>
      <c r="C7" s="22" t="s">
        <v>20</v>
      </c>
      <c r="D7" s="22" t="s">
        <v>21</v>
      </c>
      <c r="E7" s="23">
        <v>43569</v>
      </c>
      <c r="F7" s="34">
        <v>1826490</v>
      </c>
      <c r="G7" s="28">
        <v>2336</v>
      </c>
      <c r="H7" s="2">
        <v>2</v>
      </c>
      <c r="I7" s="3">
        <f t="shared" si="0"/>
        <v>4</v>
      </c>
      <c r="J7" s="36" t="str">
        <f t="shared" si="1"/>
        <v>WIFI내장</v>
      </c>
    </row>
    <row r="8" spans="2:10" x14ac:dyDescent="0.3">
      <c r="B8" s="21" t="s">
        <v>13</v>
      </c>
      <c r="C8" s="22" t="s">
        <v>20</v>
      </c>
      <c r="D8" s="22" t="s">
        <v>22</v>
      </c>
      <c r="E8" s="23">
        <v>43838</v>
      </c>
      <c r="F8" s="34">
        <v>315850</v>
      </c>
      <c r="G8" s="28">
        <v>2250</v>
      </c>
      <c r="H8" s="2">
        <v>3</v>
      </c>
      <c r="I8" s="3">
        <f t="shared" si="0"/>
        <v>6</v>
      </c>
      <c r="J8" s="36" t="str">
        <f t="shared" si="1"/>
        <v>WIFI내장</v>
      </c>
    </row>
    <row r="9" spans="2:10" x14ac:dyDescent="0.3">
      <c r="B9" s="21" t="s">
        <v>14</v>
      </c>
      <c r="C9" s="22" t="s">
        <v>19</v>
      </c>
      <c r="D9" s="22" t="s">
        <v>22</v>
      </c>
      <c r="E9" s="23">
        <v>43880</v>
      </c>
      <c r="F9" s="34">
        <v>1239180</v>
      </c>
      <c r="G9" s="28">
        <v>3164</v>
      </c>
      <c r="H9" s="2">
        <v>1</v>
      </c>
      <c r="I9" s="3">
        <f t="shared" si="0"/>
        <v>2</v>
      </c>
      <c r="J9" s="36" t="str">
        <f t="shared" si="1"/>
        <v/>
      </c>
    </row>
    <row r="10" spans="2:10" x14ac:dyDescent="0.3">
      <c r="B10" s="21" t="s">
        <v>15</v>
      </c>
      <c r="C10" s="22" t="s">
        <v>19</v>
      </c>
      <c r="D10" s="22" t="s">
        <v>23</v>
      </c>
      <c r="E10" s="23">
        <v>43936</v>
      </c>
      <c r="F10" s="34">
        <v>1447300</v>
      </c>
      <c r="G10" s="28">
        <v>2307</v>
      </c>
      <c r="H10" s="2">
        <v>1</v>
      </c>
      <c r="I10" s="3">
        <f t="shared" si="0"/>
        <v>5</v>
      </c>
      <c r="J10" s="36" t="str">
        <f t="shared" si="1"/>
        <v/>
      </c>
    </row>
    <row r="11" spans="2:10" x14ac:dyDescent="0.3">
      <c r="B11" s="21" t="s">
        <v>16</v>
      </c>
      <c r="C11" s="22" t="s">
        <v>18</v>
      </c>
      <c r="D11" s="22" t="s">
        <v>21</v>
      </c>
      <c r="E11" s="23">
        <v>43934</v>
      </c>
      <c r="F11" s="34">
        <v>648500</v>
      </c>
      <c r="G11" s="28">
        <v>1782</v>
      </c>
      <c r="H11" s="2">
        <v>3</v>
      </c>
      <c r="I11" s="3">
        <f t="shared" si="0"/>
        <v>7</v>
      </c>
      <c r="J11" s="36" t="str">
        <f t="shared" si="1"/>
        <v/>
      </c>
    </row>
    <row r="12" spans="2:10" ht="17.25" thickBot="1" x14ac:dyDescent="0.35">
      <c r="B12" s="24" t="s">
        <v>17</v>
      </c>
      <c r="C12" s="25" t="s">
        <v>20</v>
      </c>
      <c r="D12" s="25" t="s">
        <v>23</v>
      </c>
      <c r="E12" s="26">
        <v>43873</v>
      </c>
      <c r="F12" s="35">
        <v>825000</v>
      </c>
      <c r="G12" s="29">
        <v>3254</v>
      </c>
      <c r="H12" s="9">
        <v>2</v>
      </c>
      <c r="I12" s="3">
        <f t="shared" si="0"/>
        <v>1</v>
      </c>
      <c r="J12" s="36" t="str">
        <f t="shared" si="1"/>
        <v/>
      </c>
    </row>
    <row r="13" spans="2:10" x14ac:dyDescent="0.3">
      <c r="B13" s="10" t="s">
        <v>24</v>
      </c>
      <c r="C13" s="11"/>
      <c r="D13" s="11"/>
      <c r="E13" s="37">
        <f>MIN(F5:F12)</f>
        <v>315850</v>
      </c>
      <c r="F13" s="12"/>
      <c r="G13" s="11" t="s">
        <v>26</v>
      </c>
      <c r="H13" s="11"/>
      <c r="I13" s="11"/>
      <c r="J13" s="32">
        <f>SUMIF(D5:D12,"건조기",G5:G12)</f>
        <v>5561</v>
      </c>
    </row>
    <row r="14" spans="2:10" ht="17.25" thickBot="1" x14ac:dyDescent="0.35">
      <c r="B14" s="6" t="s">
        <v>25</v>
      </c>
      <c r="C14" s="7"/>
      <c r="D14" s="7"/>
      <c r="E14" s="38" t="str">
        <f>COUNTIF(G5:G12, "&gt;="&amp;AVERAGE(G5:G12)) &amp; "개"</f>
        <v>3개</v>
      </c>
      <c r="F14" s="13"/>
      <c r="G14" s="30" t="s">
        <v>0</v>
      </c>
      <c r="H14" s="31" t="s">
        <v>9</v>
      </c>
      <c r="I14" s="30" t="s">
        <v>3</v>
      </c>
      <c r="J14" s="39">
        <f>VLOOKUP(H14,B4:H12,4,FALSE)</f>
        <v>43779</v>
      </c>
    </row>
  </sheetData>
  <mergeCells count="4">
    <mergeCell ref="B14:D14"/>
    <mergeCell ref="B13:D13"/>
    <mergeCell ref="F13:F14"/>
    <mergeCell ref="G13:I13"/>
  </mergeCells>
  <phoneticPr fontId="2" type="noConversion"/>
  <conditionalFormatting sqref="B5:J12">
    <cfRule type="expression" dxfId="8" priority="1">
      <formula>$F5:$F12&gt;=1500000</formula>
    </cfRule>
  </conditionalFormatting>
  <dataValidations count="1">
    <dataValidation type="list" allowBlank="1" showInputMessage="1" showErrorMessage="1" sqref="H14" xr:uid="{EB15CA9D-CD4C-4227-BBBD-C789BD694046}">
      <formula1>$B$5:$B$12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C8EC-7096-4E1F-9612-61BB9D6FFDFA}">
  <dimension ref="B1:H22"/>
  <sheetViews>
    <sheetView workbookViewId="0">
      <selection activeCell="H18" sqref="H18"/>
    </sheetView>
  </sheetViews>
  <sheetFormatPr defaultRowHeight="16.5" x14ac:dyDescent="0.3"/>
  <cols>
    <col min="1" max="1" width="1.625" customWidth="1"/>
    <col min="2" max="2" width="11.875" bestFit="1" customWidth="1"/>
    <col min="3" max="3" width="10.25" bestFit="1" customWidth="1"/>
    <col min="4" max="4" width="11" bestFit="1" customWidth="1"/>
    <col min="5" max="5" width="12.5" bestFit="1" customWidth="1"/>
    <col min="6" max="6" width="12.75" bestFit="1" customWidth="1"/>
    <col min="8" max="8" width="10.375" customWidth="1"/>
  </cols>
  <sheetData>
    <row r="1" spans="2:8" ht="17.25" thickBot="1" x14ac:dyDescent="0.35"/>
    <row r="2" spans="2:8" ht="50.25" thickBot="1" x14ac:dyDescent="0.35"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6" t="s">
        <v>5</v>
      </c>
      <c r="H2" s="16" t="s">
        <v>6</v>
      </c>
    </row>
    <row r="3" spans="2:8" x14ac:dyDescent="0.3">
      <c r="B3" s="18" t="s">
        <v>10</v>
      </c>
      <c r="C3" s="19" t="s">
        <v>18</v>
      </c>
      <c r="D3" s="19" t="s">
        <v>21</v>
      </c>
      <c r="E3" s="20">
        <v>43779</v>
      </c>
      <c r="F3" s="33">
        <v>2712800</v>
      </c>
      <c r="G3" s="27">
        <v>1401.9999999999995</v>
      </c>
      <c r="H3" s="3">
        <v>1</v>
      </c>
    </row>
    <row r="4" spans="2:8" x14ac:dyDescent="0.3">
      <c r="B4" s="21" t="s">
        <v>11</v>
      </c>
      <c r="C4" s="22" t="s">
        <v>19</v>
      </c>
      <c r="D4" s="22" t="s">
        <v>22</v>
      </c>
      <c r="E4" s="23">
        <v>43596</v>
      </c>
      <c r="F4" s="34">
        <v>394000</v>
      </c>
      <c r="G4" s="28">
        <v>3045</v>
      </c>
      <c r="H4" s="2">
        <v>2</v>
      </c>
    </row>
    <row r="5" spans="2:8" x14ac:dyDescent="0.3">
      <c r="B5" s="21" t="s">
        <v>12</v>
      </c>
      <c r="C5" s="22" t="s">
        <v>20</v>
      </c>
      <c r="D5" s="22" t="s">
        <v>21</v>
      </c>
      <c r="E5" s="23">
        <v>43569</v>
      </c>
      <c r="F5" s="34">
        <v>1826490</v>
      </c>
      <c r="G5" s="28">
        <v>2336</v>
      </c>
      <c r="H5" s="2">
        <v>2</v>
      </c>
    </row>
    <row r="6" spans="2:8" x14ac:dyDescent="0.3">
      <c r="B6" s="21" t="s">
        <v>13</v>
      </c>
      <c r="C6" s="22" t="s">
        <v>20</v>
      </c>
      <c r="D6" s="22" t="s">
        <v>22</v>
      </c>
      <c r="E6" s="23">
        <v>43838</v>
      </c>
      <c r="F6" s="34">
        <v>315850</v>
      </c>
      <c r="G6" s="28">
        <v>2250</v>
      </c>
      <c r="H6" s="2">
        <v>3</v>
      </c>
    </row>
    <row r="7" spans="2:8" x14ac:dyDescent="0.3">
      <c r="B7" s="21" t="s">
        <v>14</v>
      </c>
      <c r="C7" s="22" t="s">
        <v>19</v>
      </c>
      <c r="D7" s="22" t="s">
        <v>22</v>
      </c>
      <c r="E7" s="23">
        <v>43880</v>
      </c>
      <c r="F7" s="34">
        <v>1239180</v>
      </c>
      <c r="G7" s="28">
        <v>3164</v>
      </c>
      <c r="H7" s="2">
        <v>1</v>
      </c>
    </row>
    <row r="8" spans="2:8" x14ac:dyDescent="0.3">
      <c r="B8" s="21" t="s">
        <v>15</v>
      </c>
      <c r="C8" s="22" t="s">
        <v>19</v>
      </c>
      <c r="D8" s="22" t="s">
        <v>23</v>
      </c>
      <c r="E8" s="23">
        <v>43936</v>
      </c>
      <c r="F8" s="34">
        <v>1447300</v>
      </c>
      <c r="G8" s="28">
        <v>2307</v>
      </c>
      <c r="H8" s="2">
        <v>1</v>
      </c>
    </row>
    <row r="9" spans="2:8" x14ac:dyDescent="0.3">
      <c r="B9" s="21" t="s">
        <v>16</v>
      </c>
      <c r="C9" s="22" t="s">
        <v>18</v>
      </c>
      <c r="D9" s="22" t="s">
        <v>21</v>
      </c>
      <c r="E9" s="23">
        <v>43934</v>
      </c>
      <c r="F9" s="34">
        <v>648500</v>
      </c>
      <c r="G9" s="28">
        <v>1782</v>
      </c>
      <c r="H9" s="2">
        <v>3</v>
      </c>
    </row>
    <row r="10" spans="2:8" x14ac:dyDescent="0.3">
      <c r="B10" s="24" t="s">
        <v>17</v>
      </c>
      <c r="C10" s="25" t="s">
        <v>20</v>
      </c>
      <c r="D10" s="25" t="s">
        <v>23</v>
      </c>
      <c r="E10" s="26">
        <v>43873</v>
      </c>
      <c r="F10" s="35">
        <v>825000</v>
      </c>
      <c r="G10" s="29">
        <v>3254</v>
      </c>
      <c r="H10" s="9">
        <v>2</v>
      </c>
    </row>
    <row r="11" spans="2:8" x14ac:dyDescent="0.3">
      <c r="B11" s="1" t="s">
        <v>27</v>
      </c>
      <c r="C11" s="1"/>
      <c r="D11" s="1"/>
      <c r="E11" s="1"/>
      <c r="F11" s="1"/>
      <c r="G11" s="1"/>
      <c r="H11" s="40">
        <f>DAVERAGE(D2:G10,G2,D2:D3)</f>
        <v>1840</v>
      </c>
    </row>
    <row r="13" spans="2:8" ht="17.25" thickBot="1" x14ac:dyDescent="0.35"/>
    <row r="14" spans="2:8" ht="17.25" thickBot="1" x14ac:dyDescent="0.35">
      <c r="B14" s="15" t="s">
        <v>1</v>
      </c>
      <c r="C14" s="15" t="s">
        <v>4</v>
      </c>
    </row>
    <row r="15" spans="2:8" x14ac:dyDescent="0.3">
      <c r="B15" t="s">
        <v>28</v>
      </c>
      <c r="C15" t="s">
        <v>29</v>
      </c>
    </row>
    <row r="17" spans="2:5" ht="17.25" thickBot="1" x14ac:dyDescent="0.35"/>
    <row r="18" spans="2:5" ht="33.75" thickBot="1" x14ac:dyDescent="0.35">
      <c r="B18" s="14" t="s">
        <v>0</v>
      </c>
      <c r="C18" s="15" t="s">
        <v>4</v>
      </c>
      <c r="D18" s="16" t="s">
        <v>5</v>
      </c>
      <c r="E18" s="16" t="s">
        <v>6</v>
      </c>
    </row>
    <row r="19" spans="2:5" x14ac:dyDescent="0.3">
      <c r="B19" s="18" t="s">
        <v>10</v>
      </c>
      <c r="C19" s="33">
        <v>2712800</v>
      </c>
      <c r="D19" s="27">
        <v>1401.9999999999995</v>
      </c>
      <c r="E19" s="3">
        <v>1</v>
      </c>
    </row>
    <row r="20" spans="2:5" x14ac:dyDescent="0.3">
      <c r="B20" s="21" t="s">
        <v>12</v>
      </c>
      <c r="C20" s="34">
        <v>1826490</v>
      </c>
      <c r="D20" s="28">
        <v>2336</v>
      </c>
      <c r="E20" s="2">
        <v>2</v>
      </c>
    </row>
    <row r="21" spans="2:5" x14ac:dyDescent="0.3">
      <c r="B21" s="21" t="s">
        <v>14</v>
      </c>
      <c r="C21" s="34">
        <v>1239180</v>
      </c>
      <c r="D21" s="28">
        <v>3164</v>
      </c>
      <c r="E21" s="2">
        <v>1</v>
      </c>
    </row>
    <row r="22" spans="2:5" x14ac:dyDescent="0.3">
      <c r="B22" s="21" t="s">
        <v>15</v>
      </c>
      <c r="C22" s="34">
        <v>1447300</v>
      </c>
      <c r="D22" s="28">
        <v>2307</v>
      </c>
      <c r="E22" s="2">
        <v>1</v>
      </c>
    </row>
  </sheetData>
  <mergeCells count="1">
    <mergeCell ref="B11:G11"/>
  </mergeCells>
  <phoneticPr fontId="2" type="noConversion"/>
  <conditionalFormatting sqref="B3:H10">
    <cfRule type="expression" dxfId="7" priority="1">
      <formula>$F3:$F10&gt;=1500000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F02B-6E3F-4733-B594-3E3992A8ABFA}">
  <dimension ref="B1:H18"/>
  <sheetViews>
    <sheetView workbookViewId="0">
      <selection activeCell="L11" sqref="L11"/>
    </sheetView>
  </sheetViews>
  <sheetFormatPr defaultRowHeight="16.5" x14ac:dyDescent="0.3"/>
  <cols>
    <col min="1" max="1" width="1.625" customWidth="1"/>
    <col min="3" max="3" width="14" bestFit="1" customWidth="1"/>
    <col min="4" max="4" width="11" bestFit="1" customWidth="1"/>
    <col min="5" max="5" width="12.5" bestFit="1" customWidth="1"/>
    <col min="6" max="6" width="12.75" bestFit="1" customWidth="1"/>
    <col min="8" max="8" width="10.875" customWidth="1"/>
  </cols>
  <sheetData>
    <row r="1" spans="2:8" ht="17.25" thickBot="1" x14ac:dyDescent="0.35"/>
    <row r="2" spans="2:8" ht="50.25" thickBot="1" x14ac:dyDescent="0.35">
      <c r="B2" s="14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6" t="s">
        <v>5</v>
      </c>
      <c r="H2" s="48" t="s">
        <v>6</v>
      </c>
    </row>
    <row r="3" spans="2:8" x14ac:dyDescent="0.3">
      <c r="B3" s="18" t="s">
        <v>11</v>
      </c>
      <c r="C3" s="19" t="s">
        <v>19</v>
      </c>
      <c r="D3" s="19" t="s">
        <v>22</v>
      </c>
      <c r="E3" s="20">
        <v>43596</v>
      </c>
      <c r="F3" s="33">
        <v>394000</v>
      </c>
      <c r="G3" s="27">
        <v>3045</v>
      </c>
      <c r="H3" s="4">
        <v>2</v>
      </c>
    </row>
    <row r="4" spans="2:8" x14ac:dyDescent="0.3">
      <c r="B4" s="21" t="s">
        <v>14</v>
      </c>
      <c r="C4" s="22" t="s">
        <v>19</v>
      </c>
      <c r="D4" s="22" t="s">
        <v>22</v>
      </c>
      <c r="E4" s="23">
        <v>43880</v>
      </c>
      <c r="F4" s="34">
        <v>1239180</v>
      </c>
      <c r="G4" s="28">
        <v>3164</v>
      </c>
      <c r="H4" s="5">
        <v>1</v>
      </c>
    </row>
    <row r="5" spans="2:8" x14ac:dyDescent="0.3">
      <c r="B5" s="21" t="s">
        <v>15</v>
      </c>
      <c r="C5" s="22" t="s">
        <v>19</v>
      </c>
      <c r="D5" s="22" t="s">
        <v>23</v>
      </c>
      <c r="E5" s="23">
        <v>43936</v>
      </c>
      <c r="F5" s="34">
        <v>1447300</v>
      </c>
      <c r="G5" s="28">
        <v>2307</v>
      </c>
      <c r="H5" s="5">
        <v>1</v>
      </c>
    </row>
    <row r="6" spans="2:8" x14ac:dyDescent="0.3">
      <c r="B6" s="21"/>
      <c r="C6" s="41" t="s">
        <v>34</v>
      </c>
      <c r="D6" s="22"/>
      <c r="E6" s="23"/>
      <c r="F6" s="34"/>
      <c r="G6" s="28">
        <f>SUBTOTAL(1,G3:G5)</f>
        <v>2838.6666666666665</v>
      </c>
      <c r="H6" s="5"/>
    </row>
    <row r="7" spans="2:8" x14ac:dyDescent="0.3">
      <c r="B7" s="21">
        <f>SUBTOTAL(3,B3:B5)</f>
        <v>3</v>
      </c>
      <c r="C7" s="41" t="s">
        <v>30</v>
      </c>
      <c r="D7" s="22"/>
      <c r="E7" s="23"/>
      <c r="F7" s="34"/>
      <c r="G7" s="28"/>
      <c r="H7" s="5"/>
    </row>
    <row r="8" spans="2:8" x14ac:dyDescent="0.3">
      <c r="B8" s="21" t="s">
        <v>12</v>
      </c>
      <c r="C8" s="22" t="s">
        <v>20</v>
      </c>
      <c r="D8" s="22" t="s">
        <v>21</v>
      </c>
      <c r="E8" s="23">
        <v>43569</v>
      </c>
      <c r="F8" s="34">
        <v>1826490</v>
      </c>
      <c r="G8" s="28">
        <v>2336</v>
      </c>
      <c r="H8" s="5">
        <v>2</v>
      </c>
    </row>
    <row r="9" spans="2:8" x14ac:dyDescent="0.3">
      <c r="B9" s="21" t="s">
        <v>13</v>
      </c>
      <c r="C9" s="22" t="s">
        <v>20</v>
      </c>
      <c r="D9" s="22" t="s">
        <v>22</v>
      </c>
      <c r="E9" s="23">
        <v>43838</v>
      </c>
      <c r="F9" s="34">
        <v>315850</v>
      </c>
      <c r="G9" s="28">
        <v>2250</v>
      </c>
      <c r="H9" s="5">
        <v>3</v>
      </c>
    </row>
    <row r="10" spans="2:8" x14ac:dyDescent="0.3">
      <c r="B10" s="21" t="s">
        <v>17</v>
      </c>
      <c r="C10" s="22" t="s">
        <v>20</v>
      </c>
      <c r="D10" s="22" t="s">
        <v>23</v>
      </c>
      <c r="E10" s="23">
        <v>43873</v>
      </c>
      <c r="F10" s="34">
        <v>825000</v>
      </c>
      <c r="G10" s="28">
        <v>3254</v>
      </c>
      <c r="H10" s="5">
        <v>2</v>
      </c>
    </row>
    <row r="11" spans="2:8" x14ac:dyDescent="0.3">
      <c r="B11" s="21"/>
      <c r="C11" s="41" t="s">
        <v>35</v>
      </c>
      <c r="D11" s="22"/>
      <c r="E11" s="23"/>
      <c r="F11" s="34"/>
      <c r="G11" s="28">
        <f>SUBTOTAL(1,G8:G10)</f>
        <v>2613.3333333333335</v>
      </c>
      <c r="H11" s="5"/>
    </row>
    <row r="12" spans="2:8" x14ac:dyDescent="0.3">
      <c r="B12" s="21">
        <f>SUBTOTAL(3,B8:B10)</f>
        <v>3</v>
      </c>
      <c r="C12" s="41" t="s">
        <v>31</v>
      </c>
      <c r="D12" s="22"/>
      <c r="E12" s="23"/>
      <c r="F12" s="34"/>
      <c r="G12" s="28"/>
      <c r="H12" s="5"/>
    </row>
    <row r="13" spans="2:8" x14ac:dyDescent="0.3">
      <c r="B13" s="21" t="s">
        <v>10</v>
      </c>
      <c r="C13" s="22" t="s">
        <v>18</v>
      </c>
      <c r="D13" s="22" t="s">
        <v>21</v>
      </c>
      <c r="E13" s="23">
        <v>43779</v>
      </c>
      <c r="F13" s="34">
        <v>2712800</v>
      </c>
      <c r="G13" s="28">
        <v>1389</v>
      </c>
      <c r="H13" s="5">
        <v>1</v>
      </c>
    </row>
    <row r="14" spans="2:8" ht="17.25" thickBot="1" x14ac:dyDescent="0.35">
      <c r="B14" s="49" t="s">
        <v>16</v>
      </c>
      <c r="C14" s="31" t="s">
        <v>18</v>
      </c>
      <c r="D14" s="31" t="s">
        <v>21</v>
      </c>
      <c r="E14" s="50">
        <v>43934</v>
      </c>
      <c r="F14" s="51">
        <v>648500</v>
      </c>
      <c r="G14" s="52">
        <v>1782</v>
      </c>
      <c r="H14" s="8">
        <v>3</v>
      </c>
    </row>
    <row r="15" spans="2:8" x14ac:dyDescent="0.3">
      <c r="B15" s="42"/>
      <c r="C15" s="47" t="s">
        <v>36</v>
      </c>
      <c r="D15" s="42"/>
      <c r="E15" s="43"/>
      <c r="F15" s="44"/>
      <c r="G15" s="45">
        <f>SUBTOTAL(1,G13:G14)</f>
        <v>1585.5</v>
      </c>
      <c r="H15" s="46"/>
    </row>
    <row r="16" spans="2:8" x14ac:dyDescent="0.3">
      <c r="B16" s="42">
        <f>SUBTOTAL(3,B13:B14)</f>
        <v>2</v>
      </c>
      <c r="C16" s="47" t="s">
        <v>32</v>
      </c>
      <c r="D16" s="42"/>
      <c r="E16" s="43"/>
      <c r="F16" s="44"/>
      <c r="G16" s="45"/>
      <c r="H16" s="46"/>
    </row>
    <row r="17" spans="2:8" x14ac:dyDescent="0.3">
      <c r="B17" s="42"/>
      <c r="C17" s="47" t="s">
        <v>37</v>
      </c>
      <c r="D17" s="42"/>
      <c r="E17" s="43"/>
      <c r="F17" s="44"/>
      <c r="G17" s="45">
        <f>SUBTOTAL(1,G3:G14)</f>
        <v>2440.875</v>
      </c>
      <c r="H17" s="46"/>
    </row>
    <row r="18" spans="2:8" x14ac:dyDescent="0.3">
      <c r="B18" s="42">
        <f>SUBTOTAL(3,B3:B14)</f>
        <v>8</v>
      </c>
      <c r="C18" s="47" t="s">
        <v>33</v>
      </c>
      <c r="D18" s="42"/>
      <c r="E18" s="43"/>
      <c r="F18" s="44"/>
      <c r="G18" s="45"/>
      <c r="H18" s="46"/>
    </row>
  </sheetData>
  <sortState xmlns:xlrd2="http://schemas.microsoft.com/office/spreadsheetml/2017/richdata2" ref="B3:H14">
    <sortCondition descending="1" ref="C2:C14"/>
  </sortState>
  <phoneticPr fontId="2" type="noConversion"/>
  <conditionalFormatting sqref="B18:H18">
    <cfRule type="expression" dxfId="6" priority="5">
      <formula>$F18:$F27&gt;=1500000</formula>
    </cfRule>
  </conditionalFormatting>
  <conditionalFormatting sqref="B3:H3 B13:H15">
    <cfRule type="expression" dxfId="5" priority="9">
      <formula>$F3:$F14&gt;=1500000</formula>
    </cfRule>
  </conditionalFormatting>
  <conditionalFormatting sqref="B7:H7">
    <cfRule type="expression" dxfId="4" priority="12">
      <formula>$F7:$F21&gt;=1500000</formula>
    </cfRule>
  </conditionalFormatting>
  <conditionalFormatting sqref="B12:H12">
    <cfRule type="expression" dxfId="3" priority="16">
      <formula>$F12:$F24&gt;=1500000</formula>
    </cfRule>
  </conditionalFormatting>
  <conditionalFormatting sqref="B16:H17">
    <cfRule type="expression" dxfId="2" priority="18">
      <formula>$F16:$F26&gt;=1500000</formula>
    </cfRule>
  </conditionalFormatting>
  <conditionalFormatting sqref="B8:H11">
    <cfRule type="expression" dxfId="1" priority="25">
      <formula>$F8:$F21&gt;=1500000</formula>
    </cfRule>
  </conditionalFormatting>
  <conditionalFormatting sqref="B4:H6">
    <cfRule type="expression" dxfId="0" priority="26">
      <formula>$F4:$F19&gt;=1500000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2026-05-26T04:50:42Z</dcterms:created>
  <dcterms:modified xsi:type="dcterms:W3CDTF">2026-05-26T05:24:30Z</dcterms:modified>
</cp:coreProperties>
</file>