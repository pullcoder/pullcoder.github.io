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584E98-ECBA-42D4-A4BC-CCB8B0E58D1E}" xr6:coauthVersionLast="47" xr6:coauthVersionMax="47" xr10:uidLastSave="{00000000-0000-0000-0000-000000000000}"/>
  <bookViews>
    <workbookView xWindow="-120" yWindow="-120" windowWidth="29040" windowHeight="15720" xr2:uid="{061712A5-68EE-4C9F-9B61-B689A8891F40}"/>
  </bookViews>
  <sheets>
    <sheet name="제1작업" sheetId="1" r:id="rId1"/>
    <sheet name="제2작업" sheetId="2" r:id="rId2"/>
    <sheet name="제3작업" sheetId="3" r:id="rId3"/>
    <sheet name="제4작업" sheetId="4" r:id="rId4"/>
  </sheets>
  <definedNames>
    <definedName name="_xlnm._FilterDatabase" localSheetId="1" hidden="1">제2작업!$B$2:$H$10</definedName>
    <definedName name="_xlnm.Criteria" localSheetId="1">제2작업!$B$14:$C$16</definedName>
    <definedName name="_xlnm.Extract" localSheetId="1">제2작업!$B$18:$E$18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1" l="1"/>
  <c r="E14" i="1"/>
  <c r="E13" i="1"/>
  <c r="J6" i="1"/>
  <c r="J7" i="1"/>
  <c r="J8" i="1"/>
  <c r="J9" i="1"/>
  <c r="J10" i="1"/>
  <c r="J11" i="1"/>
  <c r="J12" i="1"/>
  <c r="J5" i="1"/>
  <c r="I6" i="1"/>
  <c r="I7" i="1"/>
  <c r="I8" i="1"/>
  <c r="I9" i="1"/>
  <c r="I10" i="1"/>
  <c r="I11" i="1"/>
  <c r="I12" i="1"/>
  <c r="I5" i="1"/>
  <c r="J14" i="1"/>
</calcChain>
</file>

<file path=xl/sharedStrings.xml><?xml version="1.0" encoding="utf-8"?>
<sst xmlns="http://schemas.openxmlformats.org/spreadsheetml/2006/main" count="98" uniqueCount="45">
  <si>
    <t>행 레이블</t>
  </si>
  <si>
    <t>총합계</t>
  </si>
  <si>
    <t>관리코드</t>
    <phoneticPr fontId="1" type="noConversion"/>
  </si>
  <si>
    <t>모델명</t>
    <phoneticPr fontId="1" type="noConversion"/>
  </si>
  <si>
    <t>제조국가</t>
    <phoneticPr fontId="1" type="noConversion"/>
  </si>
  <si>
    <t>배터리 용량
(kwh)</t>
    <phoneticPr fontId="1" type="noConversion"/>
  </si>
  <si>
    <t>주행거리(km)</t>
    <phoneticPr fontId="1" type="noConversion"/>
  </si>
  <si>
    <t>연비
(km/kwh)</t>
    <phoneticPr fontId="1" type="noConversion"/>
  </si>
  <si>
    <t>가격</t>
    <phoneticPr fontId="1" type="noConversion"/>
  </si>
  <si>
    <t>가격 순위</t>
    <phoneticPr fontId="1" type="noConversion"/>
  </si>
  <si>
    <t>비고</t>
    <phoneticPr fontId="1" type="noConversion"/>
  </si>
  <si>
    <t>VW-1423</t>
    <phoneticPr fontId="1" type="noConversion"/>
  </si>
  <si>
    <t>GD-5424</t>
    <phoneticPr fontId="1" type="noConversion"/>
  </si>
  <si>
    <t>DB-1223</t>
    <phoneticPr fontId="1" type="noConversion"/>
  </si>
  <si>
    <t>EF-6524</t>
    <phoneticPr fontId="1" type="noConversion"/>
  </si>
  <si>
    <t>KA-2723</t>
    <phoneticPr fontId="1" type="noConversion"/>
  </si>
  <si>
    <t>LW-6524</t>
    <phoneticPr fontId="1" type="noConversion"/>
  </si>
  <si>
    <t>KJ-8623</t>
    <phoneticPr fontId="1" type="noConversion"/>
  </si>
  <si>
    <t>GK-3824</t>
    <phoneticPr fontId="1" type="noConversion"/>
  </si>
  <si>
    <t>독일 자동차 수</t>
    <phoneticPr fontId="1" type="noConversion"/>
  </si>
  <si>
    <t>미국 자동차 가격 평균</t>
    <phoneticPr fontId="1" type="noConversion"/>
  </si>
  <si>
    <t>ID.7</t>
  </si>
  <si>
    <t>ID.7</t>
    <phoneticPr fontId="1" type="noConversion"/>
  </si>
  <si>
    <t>아이오닉 6</t>
    <phoneticPr fontId="1" type="noConversion"/>
  </si>
  <si>
    <t>iX1</t>
    <phoneticPr fontId="1" type="noConversion"/>
  </si>
  <si>
    <t>모델 X</t>
    <phoneticPr fontId="1" type="noConversion"/>
  </si>
  <si>
    <t>EV9</t>
    <phoneticPr fontId="1" type="noConversion"/>
  </si>
  <si>
    <t>볼트 EUV</t>
    <phoneticPr fontId="1" type="noConversion"/>
  </si>
  <si>
    <t>Q8 e-트론</t>
    <phoneticPr fontId="1" type="noConversion"/>
  </si>
  <si>
    <t>EQE SUV</t>
    <phoneticPr fontId="1" type="noConversion"/>
  </si>
  <si>
    <t>독일</t>
  </si>
  <si>
    <t>독일</t>
    <phoneticPr fontId="1" type="noConversion"/>
  </si>
  <si>
    <t>한국</t>
  </si>
  <si>
    <t>한국</t>
    <phoneticPr fontId="1" type="noConversion"/>
  </si>
  <si>
    <t>미국</t>
  </si>
  <si>
    <t>미국</t>
    <phoneticPr fontId="1" type="noConversion"/>
  </si>
  <si>
    <t>최대 배터리 용량(kwh)</t>
    <phoneticPr fontId="1" type="noConversion"/>
  </si>
  <si>
    <t>&gt;=10000</t>
    <phoneticPr fontId="1" type="noConversion"/>
  </si>
  <si>
    <t>합계 : 가격</t>
  </si>
  <si>
    <t>전체 합계 : 가격</t>
  </si>
  <si>
    <t>개수 : 모델명</t>
  </si>
  <si>
    <t>전체 개수 : 모델명</t>
  </si>
  <si>
    <t>제조 국가</t>
  </si>
  <si>
    <t>그룹1</t>
  </si>
  <si>
    <t>\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</si>
</sst>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&quot;만원&quot;"/>
    <numFmt numFmtId="178" formatCode="#,##0&quot;위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2" fillId="0" borderId="11" xfId="0" applyNumberFormat="1" applyFont="1" applyBorder="1">
      <alignment vertical="center"/>
    </xf>
    <xf numFmtId="0" fontId="2" fillId="0" borderId="1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6" fontId="2" fillId="0" borderId="17" xfId="0" applyNumberFormat="1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7" fontId="2" fillId="0" borderId="1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7" fontId="2" fillId="0" borderId="17" xfId="0" applyNumberFormat="1" applyFont="1" applyBorder="1">
      <alignment vertical="center"/>
    </xf>
    <xf numFmtId="178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4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>
      <alignment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77" fontId="2" fillId="0" borderId="6" xfId="0" applyNumberFormat="1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176" fontId="2" fillId="0" borderId="8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indent="1"/>
    </xf>
  </cellXfs>
  <cellStyles count="1">
    <cellStyle name="표준" xfId="0" builtinId="0"/>
  </cellStyles>
  <dxfs count="3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color rgb="FF0070C0"/>
      </font>
    </dxf>
    <dxf>
      <font>
        <b/>
        <i val="0"/>
        <color rgb="FF0070C0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numFmt numFmtId="17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en-US" sz="2000">
                <a:solidFill>
                  <a:schemeClr val="tx1"/>
                </a:solidFill>
              </a:rPr>
              <a:t>독일 및 미국 전기자동차 현황</a:t>
            </a:r>
            <a:endParaRPr lang="ko-KR" sz="2000">
              <a:solidFill>
                <a:schemeClr val="tx1"/>
              </a:solidFill>
            </a:endParaRPr>
          </a:p>
        </c:rich>
      </c:tx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제1작업!$H$4</c:f>
              <c:strCache>
                <c:ptCount val="1"/>
                <c:pt idx="0">
                  <c:v>가격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(제1작업!$C$5,제1작업!$C$7:$C$8,제1작업!$C$10:$C$12)</c:f>
              <c:strCache>
                <c:ptCount val="6"/>
                <c:pt idx="0">
                  <c:v>ID.7</c:v>
                </c:pt>
                <c:pt idx="1">
                  <c:v>iX1</c:v>
                </c:pt>
                <c:pt idx="2">
                  <c:v>모델 X</c:v>
                </c:pt>
                <c:pt idx="3">
                  <c:v>볼트 EUV</c:v>
                </c:pt>
                <c:pt idx="4">
                  <c:v>Q8 e-트론</c:v>
                </c:pt>
                <c:pt idx="5">
                  <c:v>EQE SUV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제1작업!$H$5:$H$12</c15:sqref>
                  </c15:fullRef>
                </c:ext>
              </c:extLst>
              <c:f>(제1작업!$H$5,제1작업!$H$7:$H$8,제1작업!$H$10:$H$12)</c:f>
              <c:numCache>
                <c:formatCode>#,##0"만원"</c:formatCode>
                <c:ptCount val="6"/>
                <c:pt idx="0">
                  <c:v>6500</c:v>
                </c:pt>
                <c:pt idx="1">
                  <c:v>6800</c:v>
                </c:pt>
                <c:pt idx="2">
                  <c:v>13500</c:v>
                </c:pt>
                <c:pt idx="3">
                  <c:v>4200</c:v>
                </c:pt>
                <c:pt idx="4">
                  <c:v>12000</c:v>
                </c:pt>
                <c:pt idx="5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7-49AA-BBC7-FAE97346B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586639904"/>
        <c:axId val="1586627008"/>
      </c:barChart>
      <c:lineChart>
        <c:grouping val="standard"/>
        <c:varyColors val="0"/>
        <c:ser>
          <c:idx val="0"/>
          <c:order val="0"/>
          <c:tx>
            <c:v>연비(km/kwh)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tailEnd type="triangle"/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27-49AA-BBC7-FAE97346B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(제1작업!$C$5,제1작업!$C$7:$C$8,제1작업!$C$10:$C$12)</c:f>
              <c:strCache>
                <c:ptCount val="6"/>
                <c:pt idx="0">
                  <c:v>ID.7</c:v>
                </c:pt>
                <c:pt idx="1">
                  <c:v>iX1</c:v>
                </c:pt>
                <c:pt idx="2">
                  <c:v>모델 X</c:v>
                </c:pt>
                <c:pt idx="3">
                  <c:v>볼트 EUV</c:v>
                </c:pt>
                <c:pt idx="4">
                  <c:v>Q8 e-트론</c:v>
                </c:pt>
                <c:pt idx="5">
                  <c:v>EQE SUV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제1작업!$G$5:$G$12</c15:sqref>
                  </c15:fullRef>
                </c:ext>
              </c:extLst>
              <c:f>(제1작업!$G$5,제1작업!$G$7:$G$8,제1작업!$G$10:$G$12)</c:f>
              <c:numCache>
                <c:formatCode>General</c:formatCode>
                <c:ptCount val="6"/>
                <c:pt idx="0">
                  <c:v>7.2</c:v>
                </c:pt>
                <c:pt idx="1">
                  <c:v>5.7</c:v>
                </c:pt>
                <c:pt idx="2">
                  <c:v>5.8</c:v>
                </c:pt>
                <c:pt idx="3">
                  <c:v>6.9</c:v>
                </c:pt>
                <c:pt idx="4">
                  <c:v>4.2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7-49AA-BBC7-FAE97346B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251232"/>
        <c:axId val="1589257472"/>
      </c:lineChart>
      <c:catAx>
        <c:axId val="15866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586627008"/>
        <c:crosses val="autoZero"/>
        <c:auto val="1"/>
        <c:lblAlgn val="ctr"/>
        <c:lblOffset val="100"/>
        <c:noMultiLvlLbl val="0"/>
      </c:catAx>
      <c:valAx>
        <c:axId val="158662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#,##0&quot;만원&quot;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586639904"/>
        <c:crosses val="autoZero"/>
        <c:crossBetween val="between"/>
      </c:valAx>
      <c:valAx>
        <c:axId val="1589257472"/>
        <c:scaling>
          <c:orientation val="minMax"/>
        </c:scaling>
        <c:delete val="0"/>
        <c:axPos val="r"/>
        <c:numFmt formatCode="_-* #,##0.0_-;\-* #,##0.0_-;_-* &quot;-&quot;?_-;_-@_-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589251232"/>
        <c:crosses val="max"/>
        <c:crossBetween val="between"/>
        <c:majorUnit val="2"/>
      </c:valAx>
      <c:catAx>
        <c:axId val="1589251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9257472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굴림" panose="020B0600000101010101" pitchFamily="50" charset="-127"/>
          <a:ea typeface="굴림" panose="020B0600000101010101" pitchFamily="50" charset="-127"/>
        </a:defRPr>
      </a:pPr>
      <a:endParaRPr lang="ko-K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872E0E-8913-4DE0-AD14-B6BE8CBD1EC1}">
  <sheetPr/>
  <sheetViews>
    <sheetView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161925</xdr:rowOff>
    </xdr:from>
    <xdr:to>
      <xdr:col>6</xdr:col>
      <xdr:colOff>419100</xdr:colOff>
      <xdr:row>2</xdr:row>
      <xdr:rowOff>190500</xdr:rowOff>
    </xdr:to>
    <xdr:sp macro="" textlink="">
      <xdr:nvSpPr>
        <xdr:cNvPr id="4" name="사다리꼴 3">
          <a:extLst>
            <a:ext uri="{FF2B5EF4-FFF2-40B4-BE49-F238E27FC236}">
              <a16:creationId xmlns:a16="http://schemas.microsoft.com/office/drawing/2014/main" id="{DB44E5A5-CDF3-4E15-9E13-5AEE6508863B}"/>
            </a:ext>
          </a:extLst>
        </xdr:cNvPr>
        <xdr:cNvSpPr/>
      </xdr:nvSpPr>
      <xdr:spPr>
        <a:xfrm>
          <a:off x="885825" y="161925"/>
          <a:ext cx="3705225" cy="657225"/>
        </a:xfrm>
        <a:prstGeom prst="trapezoid">
          <a:avLst/>
        </a:prstGeom>
        <a:solidFill>
          <a:srgbClr val="FFFF00"/>
        </a:solidFill>
        <a:ln>
          <a:solidFill>
            <a:schemeClr val="tx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전기자동차 연비 현황</a:t>
          </a:r>
        </a:p>
      </xdr:txBody>
    </xdr:sp>
    <xdr:clientData/>
  </xdr:twoCellAnchor>
  <xdr:twoCellAnchor editAs="oneCell">
    <xdr:from>
      <xdr:col>6</xdr:col>
      <xdr:colOff>533400</xdr:colOff>
      <xdr:row>0</xdr:row>
      <xdr:rowOff>152400</xdr:rowOff>
    </xdr:from>
    <xdr:to>
      <xdr:col>9</xdr:col>
      <xdr:colOff>771525</xdr:colOff>
      <xdr:row>2</xdr:row>
      <xdr:rowOff>219075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978C542-C667-4247-8D6F-5A3680309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2400"/>
          <a:ext cx="2762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383592A-9A5C-4763-AA77-1141070D61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0.23236</cdr:x>
      <cdr:y>0.11579</cdr:y>
    </cdr:from>
    <cdr:to>
      <cdr:x>0.33046</cdr:x>
      <cdr:y>0.19474</cdr:y>
    </cdr:to>
    <cdr:sp macro="" textlink="">
      <cdr:nvSpPr>
        <cdr:cNvPr id="2" name="말풍선: 모서리가 둥근 사각형 1">
          <a:extLst xmlns:a="http://schemas.openxmlformats.org/drawingml/2006/main">
            <a:ext uri="{FF2B5EF4-FFF2-40B4-BE49-F238E27FC236}">
              <a16:creationId xmlns:a16="http://schemas.microsoft.com/office/drawing/2014/main" id="{E42CAF2D-C749-418B-AFA7-0B7F401B6BF1}"/>
            </a:ext>
          </a:extLst>
        </cdr:cNvPr>
        <cdr:cNvSpPr/>
      </cdr:nvSpPr>
      <cdr:spPr>
        <a:xfrm xmlns:a="http://schemas.openxmlformats.org/drawingml/2006/main">
          <a:off x="2161134" y="704371"/>
          <a:ext cx="912479" cy="480252"/>
        </a:xfrm>
        <a:prstGeom xmlns:a="http://schemas.openxmlformats.org/drawingml/2006/main" prst="wedgeRoundRectCallout">
          <a:avLst>
            <a:gd name="adj1" fmla="val -71710"/>
            <a:gd name="adj2" fmla="val 32500"/>
            <a:gd name="adj3" fmla="val 16667"/>
          </a:avLst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ko-KR" altLang="en-US">
              <a:latin typeface="굴림" panose="020B0600000101010101" pitchFamily="50" charset="-127"/>
              <a:ea typeface="굴림" panose="020B0600000101010101" pitchFamily="50" charset="-127"/>
            </a:rPr>
            <a:t>최대 연비</a:t>
          </a:r>
          <a:endParaRPr lang="ko-KR">
            <a:latin typeface="굴림" panose="020B0600000101010101" pitchFamily="50" charset="-127"/>
            <a:ea typeface="굴림" panose="020B0600000101010101" pitchFamily="50" charset="-127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0.614832754633" createdVersion="7" refreshedVersion="7" minRefreshableVersion="3" recordCount="8" xr:uid="{386FB320-C187-452A-ABF3-8EEE2FDF9478}">
  <cacheSource type="worksheet">
    <worksheetSource ref="B4:H12" sheet="제1작업"/>
  </cacheSource>
  <cacheFields count="8">
    <cacheField name="관리코드" numFmtId="0">
      <sharedItems/>
    </cacheField>
    <cacheField name="모델명" numFmtId="0">
      <sharedItems count="8">
        <s v="ID.7"/>
        <s v="아이오닉 6"/>
        <s v="iX1"/>
        <s v="모델 X"/>
        <s v="EV9"/>
        <s v="볼트 EUV"/>
        <s v="Q8 e-트론"/>
        <s v="EQE SUV"/>
      </sharedItems>
    </cacheField>
    <cacheField name="제조국가" numFmtId="0">
      <sharedItems count="3">
        <s v="독일"/>
        <s v="한국"/>
        <s v="미국"/>
      </sharedItems>
    </cacheField>
    <cacheField name="배터리 용량_x000a_(kwh)" numFmtId="176">
      <sharedItems containsSemiMixedTypes="0" containsString="0" containsNumber="1" minValue="65" maxValue="114"/>
    </cacheField>
    <cacheField name="주행거리(km)" numFmtId="0">
      <sharedItems containsSemiMixedTypes="0" containsString="0" containsNumber="1" containsInteger="1" minValue="435" maxValue="620" count="8">
        <n v="620"/>
        <n v="614"/>
        <n v="435"/>
        <n v="580"/>
        <n v="541"/>
        <n v="450"/>
        <n v="480"/>
        <n v="560"/>
      </sharedItems>
      <fieldGroup par="7"/>
    </cacheField>
    <cacheField name="연비_x000a_(km/kwh)" numFmtId="0">
      <sharedItems containsSemiMixedTypes="0" containsString="0" containsNumber="1" minValue="4.2" maxValue="7.9"/>
    </cacheField>
    <cacheField name="가격" numFmtId="177">
      <sharedItems containsSemiMixedTypes="0" containsString="0" containsNumber="1" containsInteger="1" minValue="4200" maxValue="13500"/>
    </cacheField>
    <cacheField name="주행거리(km)2" numFmtId="0" databaseField="0">
      <fieldGroup base="4">
        <discretePr count="8">
          <x v="0"/>
          <x v="0"/>
          <x v="0"/>
          <x v="0"/>
          <x v="0"/>
          <x v="0"/>
          <x v="0"/>
          <x v="0"/>
        </discretePr>
        <groupItems count="1">
          <s v="그룹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VW-1423"/>
    <x v="0"/>
    <x v="0"/>
    <n v="86"/>
    <x v="0"/>
    <n v="7.2"/>
    <n v="6500"/>
  </r>
  <r>
    <s v="GD-5424"/>
    <x v="1"/>
    <x v="1"/>
    <n v="77.400000000000006"/>
    <x v="1"/>
    <n v="7.9"/>
    <n v="5300"/>
  </r>
  <r>
    <s v="DB-1223"/>
    <x v="2"/>
    <x v="0"/>
    <n v="76.599999999999994"/>
    <x v="2"/>
    <n v="5.7"/>
    <n v="6800"/>
  </r>
  <r>
    <s v="EF-6524"/>
    <x v="3"/>
    <x v="2"/>
    <n v="100"/>
    <x v="3"/>
    <n v="5.8"/>
    <n v="13500"/>
  </r>
  <r>
    <s v="KA-2723"/>
    <x v="4"/>
    <x v="1"/>
    <n v="99.8"/>
    <x v="4"/>
    <n v="5.4"/>
    <n v="7800"/>
  </r>
  <r>
    <s v="LW-6524"/>
    <x v="5"/>
    <x v="2"/>
    <n v="65"/>
    <x v="5"/>
    <n v="6.9"/>
    <n v="4200"/>
  </r>
  <r>
    <s v="KJ-8623"/>
    <x v="6"/>
    <x v="0"/>
    <n v="114"/>
    <x v="6"/>
    <n v="4.2"/>
    <n v="12000"/>
  </r>
  <r>
    <s v="GK-3824"/>
    <x v="7"/>
    <x v="0"/>
    <n v="90"/>
    <x v="7"/>
    <n v="6.2"/>
    <n v="8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D8958-AD53-4F5E-8537-4B760612187C}" name="피벗 테이블3" cacheId="14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chartFormat="1" colHeaderCaption="제조 국가">
  <location ref="B2:J14" firstHeaderRow="1" firstDataRow="3" firstDataCol="1"/>
  <pivotFields count="8">
    <pivotField showAll="0"/>
    <pivotField dataField="1" showAll="0">
      <items count="9">
        <item x="7"/>
        <item x="4"/>
        <item x="0"/>
        <item x="2"/>
        <item x="6"/>
        <item x="3"/>
        <item x="5"/>
        <item x="1"/>
        <item t="default"/>
      </items>
    </pivotField>
    <pivotField axis="axisCol" showAll="0" sortType="descending">
      <items count="4">
        <item x="1"/>
        <item x="2"/>
        <item x="0"/>
        <item t="default"/>
      </items>
    </pivotField>
    <pivotField numFmtId="176" showAll="0"/>
    <pivotField axis="axisRow" showAll="0">
      <items count="9">
        <item x="2"/>
        <item x="5"/>
        <item x="6"/>
        <item x="4"/>
        <item x="7"/>
        <item x="3"/>
        <item x="1"/>
        <item x="0"/>
        <item t="default"/>
      </items>
    </pivotField>
    <pivotField showAll="0"/>
    <pivotField dataField="1" numFmtId="177" showAll="0"/>
    <pivotField axis="axisRow" showAll="0">
      <items count="2">
        <item x="0"/>
        <item t="default"/>
      </items>
    </pivotField>
  </pivotFields>
  <rowFields count="2">
    <field x="7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개수 : 모델명" fld="1" subtotal="count" baseField="0" baseItem="0"/>
    <dataField name="합계 : 가격" fld="6" baseField="0" baseItem="0"/>
  </dataFields>
  <formats count="15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" type="button" dataOnly="0" labelOnly="1" outline="0" axis="axisCol" fieldPosition="0"/>
    </format>
    <format dxfId="4">
      <pivotArea field="-2" type="button" dataOnly="0" labelOnly="1" outline="0" axis="axisCol" fieldPosition="1"/>
    </format>
    <format dxfId="5">
      <pivotArea type="topRight" dataOnly="0" labelOnly="1" outline="0" fieldPosition="0"/>
    </format>
    <format dxfId="6">
      <pivotArea field="4" type="button" dataOnly="0" labelOnly="1" outline="0" axis="axisRow" fieldPosition="1"/>
    </format>
    <format dxfId="7">
      <pivotArea dataOnly="0" labelOnly="1" fieldPosition="0">
        <references count="1">
          <reference field="4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2" count="0"/>
        </references>
      </pivotArea>
    </format>
    <format dxfId="10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</formats>
  <chartFormats count="5"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CA8F4-5702-41C3-BF7B-72517210A827}" name="표1" displayName="표1" ref="B18:E22" totalsRowShown="0" headerRowDxfId="31" headerRowBorderDxfId="37" tableBorderDxfId="38" totalsRowBorderDxfId="36">
  <autoFilter ref="B18:E22" xr:uid="{958CA8F4-5702-41C3-BF7B-72517210A827}">
    <filterColumn colId="0" hiddenButton="1"/>
    <filterColumn colId="1" hiddenButton="1"/>
    <filterColumn colId="2" hiddenButton="1"/>
    <filterColumn colId="3" hiddenButton="1"/>
  </autoFilter>
  <tableColumns count="4">
    <tableColumn id="1" xr3:uid="{FACA48E1-FE9E-4018-8E29-A6D9F3FA38A0}" name="모델명" dataDxfId="35"/>
    <tableColumn id="2" xr3:uid="{DD5F3067-BBC9-46D1-AA9C-BA269ECBE892}" name="배터리 용량_x000a_(kwh)" dataDxfId="34"/>
    <tableColumn id="3" xr3:uid="{42D55FA1-AABD-4342-8A9C-A04D424F91EF}" name="주행거리(km)" dataDxfId="33"/>
    <tableColumn id="4" xr3:uid="{4AC04A81-7618-40C5-A3ED-2CB8AF3F827A}" name="연비_x000a_(km/kwh)" dataDxfId="3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4D29-639D-4949-AE0E-5BBA9C70EC77}">
  <dimension ref="B1:J14"/>
  <sheetViews>
    <sheetView tabSelected="1" workbookViewId="0">
      <selection activeCell="G23" sqref="G23"/>
    </sheetView>
  </sheetViews>
  <sheetFormatPr defaultColWidth="10.25" defaultRowHeight="13.5" x14ac:dyDescent="0.3"/>
  <cols>
    <col min="1" max="1" width="1.625" style="2" customWidth="1"/>
    <col min="2" max="4" width="10.25" style="2"/>
    <col min="5" max="5" width="11.625" style="2" bestFit="1" customWidth="1"/>
    <col min="6" max="6" width="13" style="2" bestFit="1" customWidth="1"/>
    <col min="7" max="7" width="10.25" style="2"/>
    <col min="8" max="8" width="12.625" style="2" customWidth="1"/>
    <col min="9" max="11" width="10.25" style="2"/>
    <col min="12" max="12" width="10.25" style="2" customWidth="1"/>
    <col min="13" max="16384" width="10.25" style="2"/>
  </cols>
  <sheetData>
    <row r="1" spans="2:10" ht="24.95" customHeight="1" x14ac:dyDescent="0.3"/>
    <row r="2" spans="2:10" ht="24.95" customHeight="1" x14ac:dyDescent="0.3"/>
    <row r="3" spans="2:10" ht="24.95" customHeight="1" thickBot="1" x14ac:dyDescent="0.35"/>
    <row r="4" spans="2:10" ht="38.25" customHeight="1" thickBot="1" x14ac:dyDescent="0.35">
      <c r="B4" s="3" t="s">
        <v>2</v>
      </c>
      <c r="C4" s="4" t="s">
        <v>3</v>
      </c>
      <c r="D4" s="4" t="s">
        <v>4</v>
      </c>
      <c r="E4" s="5" t="s">
        <v>5</v>
      </c>
      <c r="F4" s="4" t="s">
        <v>6</v>
      </c>
      <c r="G4" s="5" t="s">
        <v>7</v>
      </c>
      <c r="H4" s="4" t="s">
        <v>8</v>
      </c>
      <c r="I4" s="5" t="s">
        <v>9</v>
      </c>
      <c r="J4" s="6" t="s">
        <v>10</v>
      </c>
    </row>
    <row r="5" spans="2:10" x14ac:dyDescent="0.3">
      <c r="B5" s="7" t="s">
        <v>11</v>
      </c>
      <c r="C5" s="8" t="s">
        <v>22</v>
      </c>
      <c r="D5" s="8" t="s">
        <v>31</v>
      </c>
      <c r="E5" s="9">
        <v>86</v>
      </c>
      <c r="F5" s="10">
        <v>620</v>
      </c>
      <c r="G5" s="10">
        <v>7.2</v>
      </c>
      <c r="H5" s="33">
        <v>6500</v>
      </c>
      <c r="I5" s="36">
        <f>_xlfn.RANK.EQ(H5,$H$5:$H$12)</f>
        <v>6</v>
      </c>
      <c r="J5" s="37" t="str">
        <f>IF(RIGHT(B5,2)="24","2024년형","")</f>
        <v/>
      </c>
    </row>
    <row r="6" spans="2:10" x14ac:dyDescent="0.3">
      <c r="B6" s="11" t="s">
        <v>12</v>
      </c>
      <c r="C6" s="12" t="s">
        <v>23</v>
      </c>
      <c r="D6" s="12" t="s">
        <v>33</v>
      </c>
      <c r="E6" s="13">
        <v>77.400000000000006</v>
      </c>
      <c r="F6" s="14">
        <v>614</v>
      </c>
      <c r="G6" s="14">
        <v>7.9</v>
      </c>
      <c r="H6" s="34">
        <v>5300</v>
      </c>
      <c r="I6" s="36">
        <f t="shared" ref="I6:I12" si="0">_xlfn.RANK.EQ(H6,$H$5:$H$12)</f>
        <v>7</v>
      </c>
      <c r="J6" s="37" t="str">
        <f t="shared" ref="J6:J12" si="1">IF(RIGHT(B6,2)="24","2024년형","")</f>
        <v>2024년형</v>
      </c>
    </row>
    <row r="7" spans="2:10" x14ac:dyDescent="0.3">
      <c r="B7" s="11" t="s">
        <v>13</v>
      </c>
      <c r="C7" s="12" t="s">
        <v>24</v>
      </c>
      <c r="D7" s="12" t="s">
        <v>31</v>
      </c>
      <c r="E7" s="13">
        <v>76.599999999999994</v>
      </c>
      <c r="F7" s="14">
        <v>435</v>
      </c>
      <c r="G7" s="14">
        <v>5.7</v>
      </c>
      <c r="H7" s="34">
        <v>6800</v>
      </c>
      <c r="I7" s="36">
        <f t="shared" si="0"/>
        <v>5</v>
      </c>
      <c r="J7" s="37" t="str">
        <f t="shared" si="1"/>
        <v/>
      </c>
    </row>
    <row r="8" spans="2:10" x14ac:dyDescent="0.3">
      <c r="B8" s="11" t="s">
        <v>14</v>
      </c>
      <c r="C8" s="12" t="s">
        <v>25</v>
      </c>
      <c r="D8" s="12" t="s">
        <v>35</v>
      </c>
      <c r="E8" s="13">
        <v>100</v>
      </c>
      <c r="F8" s="14">
        <v>580</v>
      </c>
      <c r="G8" s="14">
        <v>5.8</v>
      </c>
      <c r="H8" s="34">
        <v>13500</v>
      </c>
      <c r="I8" s="36">
        <f t="shared" si="0"/>
        <v>1</v>
      </c>
      <c r="J8" s="37" t="str">
        <f t="shared" si="1"/>
        <v>2024년형</v>
      </c>
    </row>
    <row r="9" spans="2:10" x14ac:dyDescent="0.3">
      <c r="B9" s="11" t="s">
        <v>15</v>
      </c>
      <c r="C9" s="12" t="s">
        <v>26</v>
      </c>
      <c r="D9" s="12" t="s">
        <v>33</v>
      </c>
      <c r="E9" s="13">
        <v>99.8</v>
      </c>
      <c r="F9" s="14">
        <v>541</v>
      </c>
      <c r="G9" s="14">
        <v>5.4</v>
      </c>
      <c r="H9" s="34">
        <v>7800</v>
      </c>
      <c r="I9" s="36">
        <f t="shared" si="0"/>
        <v>4</v>
      </c>
      <c r="J9" s="37" t="str">
        <f t="shared" si="1"/>
        <v/>
      </c>
    </row>
    <row r="10" spans="2:10" x14ac:dyDescent="0.3">
      <c r="B10" s="11" t="s">
        <v>16</v>
      </c>
      <c r="C10" s="12" t="s">
        <v>27</v>
      </c>
      <c r="D10" s="12" t="s">
        <v>35</v>
      </c>
      <c r="E10" s="13">
        <v>65</v>
      </c>
      <c r="F10" s="14">
        <v>450</v>
      </c>
      <c r="G10" s="14">
        <v>6.9</v>
      </c>
      <c r="H10" s="34">
        <v>4200</v>
      </c>
      <c r="I10" s="36">
        <f t="shared" si="0"/>
        <v>8</v>
      </c>
      <c r="J10" s="37" t="str">
        <f t="shared" si="1"/>
        <v>2024년형</v>
      </c>
    </row>
    <row r="11" spans="2:10" x14ac:dyDescent="0.3">
      <c r="B11" s="11" t="s">
        <v>17</v>
      </c>
      <c r="C11" s="12" t="s">
        <v>28</v>
      </c>
      <c r="D11" s="12" t="s">
        <v>31</v>
      </c>
      <c r="E11" s="13">
        <v>114</v>
      </c>
      <c r="F11" s="14">
        <v>480</v>
      </c>
      <c r="G11" s="14">
        <v>4.2</v>
      </c>
      <c r="H11" s="34">
        <v>12000</v>
      </c>
      <c r="I11" s="36">
        <f t="shared" si="0"/>
        <v>2</v>
      </c>
      <c r="J11" s="37" t="str">
        <f t="shared" si="1"/>
        <v/>
      </c>
    </row>
    <row r="12" spans="2:10" ht="14.25" thickBot="1" x14ac:dyDescent="0.35">
      <c r="B12" s="15" t="s">
        <v>18</v>
      </c>
      <c r="C12" s="16" t="s">
        <v>29</v>
      </c>
      <c r="D12" s="16" t="s">
        <v>31</v>
      </c>
      <c r="E12" s="17">
        <v>90</v>
      </c>
      <c r="F12" s="18">
        <v>560</v>
      </c>
      <c r="G12" s="18">
        <v>6.2</v>
      </c>
      <c r="H12" s="35">
        <v>8900</v>
      </c>
      <c r="I12" s="36">
        <f t="shared" si="0"/>
        <v>3</v>
      </c>
      <c r="J12" s="37" t="str">
        <f t="shared" si="1"/>
        <v>2024년형</v>
      </c>
    </row>
    <row r="13" spans="2:10" x14ac:dyDescent="0.3">
      <c r="B13" s="19" t="s">
        <v>19</v>
      </c>
      <c r="C13" s="20"/>
      <c r="D13" s="21"/>
      <c r="E13" s="22">
        <f>DCOUNTA(D4:H12,1,D4:D5)</f>
        <v>4</v>
      </c>
      <c r="F13" s="31"/>
      <c r="G13" s="23" t="s">
        <v>36</v>
      </c>
      <c r="H13" s="20"/>
      <c r="I13" s="21"/>
      <c r="J13" s="38">
        <f>MAX(E5:E12)</f>
        <v>114</v>
      </c>
    </row>
    <row r="14" spans="2:10" ht="14.25" thickBot="1" x14ac:dyDescent="0.35">
      <c r="B14" s="24" t="s">
        <v>20</v>
      </c>
      <c r="C14" s="25"/>
      <c r="D14" s="26"/>
      <c r="E14" s="27">
        <f ca="1">SUMIF(D4:H12,"미국",H4)/COUNTIF(D5:D12,"미국")</f>
        <v>8850</v>
      </c>
      <c r="F14" s="32"/>
      <c r="G14" s="28" t="s">
        <v>3</v>
      </c>
      <c r="H14" s="29" t="s">
        <v>21</v>
      </c>
      <c r="I14" s="28" t="s">
        <v>8</v>
      </c>
      <c r="J14" s="30">
        <f>VLOOKUP(H14,C4:H12,6,FALSE)</f>
        <v>6500</v>
      </c>
    </row>
  </sheetData>
  <mergeCells count="4">
    <mergeCell ref="B13:D13"/>
    <mergeCell ref="B14:D14"/>
    <mergeCell ref="F13:F14"/>
    <mergeCell ref="G13:I13"/>
  </mergeCells>
  <phoneticPr fontId="1" type="noConversion"/>
  <conditionalFormatting sqref="B5:J12">
    <cfRule type="expression" dxfId="30" priority="1">
      <formula>$G5&gt;=6</formula>
    </cfRule>
  </conditionalFormatting>
  <dataValidations count="1">
    <dataValidation type="list" allowBlank="1" showInputMessage="1" showErrorMessage="1" sqref="H14" xr:uid="{9E232850-56F9-4946-9F99-2E7DCE3F0923}">
      <formula1>$C$5:$C$12</formula1>
    </dataValidation>
  </dataValidations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4F65-9072-49D7-BE52-56B36E327699}">
  <dimension ref="B1:H22"/>
  <sheetViews>
    <sheetView workbookViewId="0">
      <selection activeCell="H17" sqref="H17"/>
    </sheetView>
  </sheetViews>
  <sheetFormatPr defaultRowHeight="16.5" x14ac:dyDescent="0.3"/>
  <cols>
    <col min="2" max="2" width="10.625" bestFit="1" customWidth="1"/>
    <col min="3" max="3" width="11.75" bestFit="1" customWidth="1"/>
    <col min="4" max="4" width="15" customWidth="1"/>
    <col min="5" max="5" width="11.5" customWidth="1"/>
    <col min="6" max="6" width="13" bestFit="1" customWidth="1"/>
    <col min="8" max="8" width="11.125" bestFit="1" customWidth="1"/>
  </cols>
  <sheetData>
    <row r="1" spans="2:8" ht="17.25" thickBot="1" x14ac:dyDescent="0.35"/>
    <row r="2" spans="2:8" ht="27" x14ac:dyDescent="0.3">
      <c r="B2" s="49" t="s">
        <v>2</v>
      </c>
      <c r="C2" s="50" t="s">
        <v>3</v>
      </c>
      <c r="D2" s="50" t="s">
        <v>4</v>
      </c>
      <c r="E2" s="51" t="s">
        <v>5</v>
      </c>
      <c r="F2" s="50" t="s">
        <v>6</v>
      </c>
      <c r="G2" s="51" t="s">
        <v>7</v>
      </c>
      <c r="H2" s="52" t="s">
        <v>8</v>
      </c>
    </row>
    <row r="3" spans="2:8" x14ac:dyDescent="0.3">
      <c r="B3" s="11" t="s">
        <v>11</v>
      </c>
      <c r="C3" s="12" t="s">
        <v>22</v>
      </c>
      <c r="D3" s="12" t="s">
        <v>31</v>
      </c>
      <c r="E3" s="13">
        <v>86</v>
      </c>
      <c r="F3" s="14">
        <v>620</v>
      </c>
      <c r="G3" s="14">
        <v>7.2</v>
      </c>
      <c r="H3" s="53">
        <v>6500</v>
      </c>
    </row>
    <row r="4" spans="2:8" x14ac:dyDescent="0.3">
      <c r="B4" s="11" t="s">
        <v>12</v>
      </c>
      <c r="C4" s="12" t="s">
        <v>23</v>
      </c>
      <c r="D4" s="12" t="s">
        <v>33</v>
      </c>
      <c r="E4" s="13">
        <v>77.400000000000006</v>
      </c>
      <c r="F4" s="14">
        <v>614</v>
      </c>
      <c r="G4" s="14">
        <v>7.9</v>
      </c>
      <c r="H4" s="53">
        <v>5300</v>
      </c>
    </row>
    <row r="5" spans="2:8" x14ac:dyDescent="0.3">
      <c r="B5" s="11" t="s">
        <v>13</v>
      </c>
      <c r="C5" s="12" t="s">
        <v>24</v>
      </c>
      <c r="D5" s="12" t="s">
        <v>31</v>
      </c>
      <c r="E5" s="13">
        <v>76.599999999999994</v>
      </c>
      <c r="F5" s="14">
        <v>435</v>
      </c>
      <c r="G5" s="14">
        <v>5.7</v>
      </c>
      <c r="H5" s="53">
        <v>6800</v>
      </c>
    </row>
    <row r="6" spans="2:8" x14ac:dyDescent="0.3">
      <c r="B6" s="11" t="s">
        <v>14</v>
      </c>
      <c r="C6" s="12" t="s">
        <v>25</v>
      </c>
      <c r="D6" s="12" t="s">
        <v>35</v>
      </c>
      <c r="E6" s="13">
        <v>100</v>
      </c>
      <c r="F6" s="14">
        <v>580</v>
      </c>
      <c r="G6" s="14">
        <v>5.8</v>
      </c>
      <c r="H6" s="53">
        <v>13500</v>
      </c>
    </row>
    <row r="7" spans="2:8" x14ac:dyDescent="0.3">
      <c r="B7" s="11" t="s">
        <v>15</v>
      </c>
      <c r="C7" s="12" t="s">
        <v>26</v>
      </c>
      <c r="D7" s="12" t="s">
        <v>33</v>
      </c>
      <c r="E7" s="13">
        <v>99.8</v>
      </c>
      <c r="F7" s="14">
        <v>541</v>
      </c>
      <c r="G7" s="14">
        <v>5.4</v>
      </c>
      <c r="H7" s="53">
        <v>7800</v>
      </c>
    </row>
    <row r="8" spans="2:8" x14ac:dyDescent="0.3">
      <c r="B8" s="11" t="s">
        <v>16</v>
      </c>
      <c r="C8" s="12" t="s">
        <v>27</v>
      </c>
      <c r="D8" s="12" t="s">
        <v>35</v>
      </c>
      <c r="E8" s="13">
        <v>65</v>
      </c>
      <c r="F8" s="14">
        <v>450</v>
      </c>
      <c r="G8" s="14">
        <v>6.9</v>
      </c>
      <c r="H8" s="53">
        <v>4200</v>
      </c>
    </row>
    <row r="9" spans="2:8" x14ac:dyDescent="0.3">
      <c r="B9" s="11" t="s">
        <v>17</v>
      </c>
      <c r="C9" s="12" t="s">
        <v>28</v>
      </c>
      <c r="D9" s="12" t="s">
        <v>31</v>
      </c>
      <c r="E9" s="13">
        <v>114</v>
      </c>
      <c r="F9" s="14">
        <v>480</v>
      </c>
      <c r="G9" s="14">
        <v>4.2</v>
      </c>
      <c r="H9" s="53">
        <v>12000</v>
      </c>
    </row>
    <row r="10" spans="2:8" ht="17.25" thickBot="1" x14ac:dyDescent="0.35">
      <c r="B10" s="54" t="s">
        <v>18</v>
      </c>
      <c r="C10" s="29" t="s">
        <v>29</v>
      </c>
      <c r="D10" s="29" t="s">
        <v>31</v>
      </c>
      <c r="E10" s="55">
        <v>90</v>
      </c>
      <c r="F10" s="27">
        <v>560</v>
      </c>
      <c r="G10" s="27">
        <v>6.2</v>
      </c>
      <c r="H10" s="56">
        <v>8900</v>
      </c>
    </row>
    <row r="14" spans="2:8" x14ac:dyDescent="0.3">
      <c r="B14" s="48" t="s">
        <v>4</v>
      </c>
      <c r="C14" s="48" t="s">
        <v>8</v>
      </c>
    </row>
    <row r="15" spans="2:8" x14ac:dyDescent="0.3">
      <c r="B15" s="1" t="s">
        <v>33</v>
      </c>
      <c r="C15" s="1"/>
    </row>
    <row r="16" spans="2:8" x14ac:dyDescent="0.3">
      <c r="B16" s="1"/>
      <c r="C16" s="1" t="s">
        <v>37</v>
      </c>
    </row>
    <row r="18" spans="2:5" ht="27" x14ac:dyDescent="0.3">
      <c r="B18" s="44" t="s">
        <v>3</v>
      </c>
      <c r="C18" s="45" t="s">
        <v>5</v>
      </c>
      <c r="D18" s="46" t="s">
        <v>6</v>
      </c>
      <c r="E18" s="47" t="s">
        <v>7</v>
      </c>
    </row>
    <row r="19" spans="2:5" x14ac:dyDescent="0.3">
      <c r="B19" s="40" t="s">
        <v>23</v>
      </c>
      <c r="C19" s="13">
        <v>77.400000000000006</v>
      </c>
      <c r="D19" s="14">
        <v>614</v>
      </c>
      <c r="E19" s="41">
        <v>7.9</v>
      </c>
    </row>
    <row r="20" spans="2:5" x14ac:dyDescent="0.3">
      <c r="B20" s="40" t="s">
        <v>25</v>
      </c>
      <c r="C20" s="13">
        <v>100</v>
      </c>
      <c r="D20" s="14">
        <v>580</v>
      </c>
      <c r="E20" s="41">
        <v>5.8</v>
      </c>
    </row>
    <row r="21" spans="2:5" x14ac:dyDescent="0.3">
      <c r="B21" s="40" t="s">
        <v>26</v>
      </c>
      <c r="C21" s="13">
        <v>99.8</v>
      </c>
      <c r="D21" s="14">
        <v>541</v>
      </c>
      <c r="E21" s="41">
        <v>5.4</v>
      </c>
    </row>
    <row r="22" spans="2:5" x14ac:dyDescent="0.3">
      <c r="B22" s="42" t="s">
        <v>28</v>
      </c>
      <c r="C22" s="17">
        <v>114</v>
      </c>
      <c r="D22" s="18">
        <v>480</v>
      </c>
      <c r="E22" s="43">
        <v>4.2</v>
      </c>
    </row>
  </sheetData>
  <phoneticPr fontId="1" type="noConversion"/>
  <conditionalFormatting sqref="B3:H10">
    <cfRule type="expression" dxfId="29" priority="1">
      <formula>$G3&gt;=6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E687-D28D-44DE-AD51-55E10EFDE7C1}">
  <dimension ref="B2:J16"/>
  <sheetViews>
    <sheetView workbookViewId="0">
      <selection activeCell="J14" sqref="I2:J14"/>
    </sheetView>
  </sheetViews>
  <sheetFormatPr defaultRowHeight="16.5" x14ac:dyDescent="0.3"/>
  <cols>
    <col min="1" max="1" width="1.625" customWidth="1"/>
    <col min="2" max="3" width="13.875" bestFit="1" customWidth="1"/>
    <col min="4" max="4" width="11.125" bestFit="1" customWidth="1"/>
    <col min="5" max="5" width="13.125" bestFit="1" customWidth="1"/>
    <col min="6" max="6" width="11.125" bestFit="1" customWidth="1"/>
    <col min="7" max="7" width="13.125" bestFit="1" customWidth="1"/>
    <col min="8" max="8" width="11.125" bestFit="1" customWidth="1"/>
    <col min="9" max="9" width="18" bestFit="1" customWidth="1"/>
    <col min="10" max="10" width="15.875" bestFit="1" customWidth="1"/>
    <col min="11" max="11" width="12.625" bestFit="1" customWidth="1"/>
    <col min="12" max="12" width="15.375" bestFit="1" customWidth="1"/>
    <col min="13" max="13" width="9.5" bestFit="1" customWidth="1"/>
    <col min="14" max="15" width="11.875" bestFit="1" customWidth="1"/>
    <col min="16" max="16" width="14.5" bestFit="1" customWidth="1"/>
    <col min="17" max="17" width="13.25" bestFit="1" customWidth="1"/>
    <col min="18" max="18" width="15.875" bestFit="1" customWidth="1"/>
    <col min="19" max="19" width="7.375" bestFit="1" customWidth="1"/>
    <col min="20" max="20" width="7.25" bestFit="1" customWidth="1"/>
    <col min="21" max="21" width="9.5" bestFit="1" customWidth="1"/>
    <col min="22" max="22" width="7.5" bestFit="1" customWidth="1"/>
    <col min="23" max="23" width="9.75" bestFit="1" customWidth="1"/>
    <col min="24" max="24" width="6.75" bestFit="1" customWidth="1"/>
    <col min="26" max="26" width="12.625" bestFit="1" customWidth="1"/>
    <col min="27" max="27" width="15.375" bestFit="1" customWidth="1"/>
    <col min="28" max="28" width="9.5" bestFit="1" customWidth="1"/>
    <col min="29" max="30" width="11.875" bestFit="1" customWidth="1"/>
    <col min="31" max="31" width="14.5" bestFit="1" customWidth="1"/>
    <col min="32" max="32" width="13.25" bestFit="1" customWidth="1"/>
    <col min="33" max="33" width="15.875" bestFit="1" customWidth="1"/>
    <col min="34" max="34" width="24.5" bestFit="1" customWidth="1"/>
    <col min="35" max="35" width="15.875" bestFit="1" customWidth="1"/>
  </cols>
  <sheetData>
    <row r="2" spans="2:10" x14ac:dyDescent="0.3">
      <c r="B2" s="39"/>
      <c r="C2" s="57" t="s">
        <v>42</v>
      </c>
      <c r="D2" s="39"/>
      <c r="E2" s="39"/>
      <c r="F2" s="39"/>
      <c r="G2" s="39"/>
      <c r="H2" s="39"/>
      <c r="I2" s="39"/>
      <c r="J2" s="39"/>
    </row>
    <row r="3" spans="2:10" x14ac:dyDescent="0.3">
      <c r="B3" s="39"/>
      <c r="C3" s="39" t="s">
        <v>32</v>
      </c>
      <c r="D3" s="39"/>
      <c r="E3" s="39" t="s">
        <v>34</v>
      </c>
      <c r="F3" s="39"/>
      <c r="G3" s="39" t="s">
        <v>30</v>
      </c>
      <c r="H3" s="39"/>
      <c r="I3" s="39" t="s">
        <v>41</v>
      </c>
      <c r="J3" s="39" t="s">
        <v>39</v>
      </c>
    </row>
    <row r="4" spans="2:10" x14ac:dyDescent="0.3">
      <c r="B4" s="57" t="s">
        <v>0</v>
      </c>
      <c r="C4" s="39" t="s">
        <v>40</v>
      </c>
      <c r="D4" s="39" t="s">
        <v>38</v>
      </c>
      <c r="E4" s="39" t="s">
        <v>40</v>
      </c>
      <c r="F4" s="39" t="s">
        <v>38</v>
      </c>
      <c r="G4" s="39" t="s">
        <v>40</v>
      </c>
      <c r="H4" s="39" t="s">
        <v>38</v>
      </c>
      <c r="I4" s="39"/>
      <c r="J4" s="39"/>
    </row>
    <row r="5" spans="2:10" x14ac:dyDescent="0.3">
      <c r="B5" s="39" t="s">
        <v>43</v>
      </c>
      <c r="C5" s="58">
        <v>2</v>
      </c>
      <c r="D5" s="58">
        <v>13100</v>
      </c>
      <c r="E5" s="58">
        <v>2</v>
      </c>
      <c r="F5" s="58">
        <v>17700</v>
      </c>
      <c r="G5" s="58">
        <v>4</v>
      </c>
      <c r="H5" s="58">
        <v>34200</v>
      </c>
      <c r="I5" s="58">
        <v>8</v>
      </c>
      <c r="J5" s="58">
        <v>65000</v>
      </c>
    </row>
    <row r="6" spans="2:10" x14ac:dyDescent="0.3">
      <c r="B6" s="59">
        <v>435</v>
      </c>
      <c r="C6" s="58"/>
      <c r="D6" s="58"/>
      <c r="E6" s="58"/>
      <c r="F6" s="58"/>
      <c r="G6" s="58">
        <v>1</v>
      </c>
      <c r="H6" s="58">
        <v>6800</v>
      </c>
      <c r="I6" s="58">
        <v>1</v>
      </c>
      <c r="J6" s="58">
        <v>6800</v>
      </c>
    </row>
    <row r="7" spans="2:10" x14ac:dyDescent="0.3">
      <c r="B7" s="59">
        <v>450</v>
      </c>
      <c r="C7" s="58"/>
      <c r="D7" s="58"/>
      <c r="E7" s="58">
        <v>1</v>
      </c>
      <c r="F7" s="58">
        <v>4200</v>
      </c>
      <c r="G7" s="58"/>
      <c r="H7" s="58"/>
      <c r="I7" s="58">
        <v>1</v>
      </c>
      <c r="J7" s="58">
        <v>4200</v>
      </c>
    </row>
    <row r="8" spans="2:10" x14ac:dyDescent="0.3">
      <c r="B8" s="59">
        <v>480</v>
      </c>
      <c r="C8" s="58"/>
      <c r="D8" s="58"/>
      <c r="E8" s="58"/>
      <c r="F8" s="58"/>
      <c r="G8" s="58">
        <v>1</v>
      </c>
      <c r="H8" s="58">
        <v>12000</v>
      </c>
      <c r="I8" s="58">
        <v>1</v>
      </c>
      <c r="J8" s="58">
        <v>12000</v>
      </c>
    </row>
    <row r="9" spans="2:10" x14ac:dyDescent="0.3">
      <c r="B9" s="59">
        <v>541</v>
      </c>
      <c r="C9" s="58">
        <v>1</v>
      </c>
      <c r="D9" s="58">
        <v>7800</v>
      </c>
      <c r="E9" s="58"/>
      <c r="F9" s="58"/>
      <c r="G9" s="58"/>
      <c r="H9" s="58"/>
      <c r="I9" s="58">
        <v>1</v>
      </c>
      <c r="J9" s="58">
        <v>7800</v>
      </c>
    </row>
    <row r="10" spans="2:10" x14ac:dyDescent="0.3">
      <c r="B10" s="59">
        <v>560</v>
      </c>
      <c r="C10" s="58"/>
      <c r="D10" s="58"/>
      <c r="E10" s="58"/>
      <c r="F10" s="58"/>
      <c r="G10" s="58">
        <v>1</v>
      </c>
      <c r="H10" s="58">
        <v>8900</v>
      </c>
      <c r="I10" s="58">
        <v>1</v>
      </c>
      <c r="J10" s="58">
        <v>8900</v>
      </c>
    </row>
    <row r="11" spans="2:10" x14ac:dyDescent="0.3">
      <c r="B11" s="59">
        <v>580</v>
      </c>
      <c r="C11" s="58"/>
      <c r="D11" s="58"/>
      <c r="E11" s="58">
        <v>1</v>
      </c>
      <c r="F11" s="58">
        <v>13500</v>
      </c>
      <c r="G11" s="58"/>
      <c r="H11" s="58"/>
      <c r="I11" s="58">
        <v>1</v>
      </c>
      <c r="J11" s="58">
        <v>13500</v>
      </c>
    </row>
    <row r="12" spans="2:10" x14ac:dyDescent="0.3">
      <c r="B12" s="59">
        <v>614</v>
      </c>
      <c r="C12" s="58">
        <v>1</v>
      </c>
      <c r="D12" s="58">
        <v>5300</v>
      </c>
      <c r="E12" s="58"/>
      <c r="F12" s="58"/>
      <c r="G12" s="58"/>
      <c r="H12" s="58"/>
      <c r="I12" s="58">
        <v>1</v>
      </c>
      <c r="J12" s="58">
        <v>5300</v>
      </c>
    </row>
    <row r="13" spans="2:10" x14ac:dyDescent="0.3">
      <c r="B13" s="59">
        <v>620</v>
      </c>
      <c r="C13" s="58"/>
      <c r="D13" s="58"/>
      <c r="E13" s="58"/>
      <c r="F13" s="58"/>
      <c r="G13" s="58">
        <v>1</v>
      </c>
      <c r="H13" s="58">
        <v>6500</v>
      </c>
      <c r="I13" s="58">
        <v>1</v>
      </c>
      <c r="J13" s="58">
        <v>6500</v>
      </c>
    </row>
    <row r="14" spans="2:10" x14ac:dyDescent="0.3">
      <c r="B14" s="39" t="s">
        <v>1</v>
      </c>
      <c r="C14" s="58">
        <v>2</v>
      </c>
      <c r="D14" s="58">
        <v>13100</v>
      </c>
      <c r="E14" s="58">
        <v>2</v>
      </c>
      <c r="F14" s="58">
        <v>17700</v>
      </c>
      <c r="G14" s="58">
        <v>4</v>
      </c>
      <c r="H14" s="58">
        <v>34200</v>
      </c>
      <c r="I14" s="58">
        <v>8</v>
      </c>
      <c r="J14" s="58">
        <v>65000</v>
      </c>
    </row>
    <row r="16" spans="2:10" x14ac:dyDescent="0.3">
      <c r="J16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2026-04-28T04:48:49Z</dcterms:created>
  <dcterms:modified xsi:type="dcterms:W3CDTF">2026-04-28T06:32:47Z</dcterms:modified>
</cp:coreProperties>
</file>