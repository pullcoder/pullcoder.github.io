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F954C9-174F-4449-92F3-6C150CD281E5}" xr6:coauthVersionLast="47" xr6:coauthVersionMax="47" xr10:uidLastSave="{00000000-0000-0000-0000-000000000000}"/>
  <bookViews>
    <workbookView xWindow="12075" yWindow="1740" windowWidth="15855" windowHeight="11295" activeTab="3" xr2:uid="{415C61E7-27B5-4644-BE0C-77D1539F7E39}"/>
  </bookViews>
  <sheets>
    <sheet name="제1작업" sheetId="1" r:id="rId1"/>
    <sheet name="제2작업" sheetId="2" r:id="rId2"/>
    <sheet name="제3작업" sheetId="4" r:id="rId3"/>
    <sheet name="제4작업" sheetId="5" r:id="rId4"/>
  </sheets>
  <definedNames>
    <definedName name="_xlnm._FilterDatabase" localSheetId="1" hidden="1">제2작업!$B$2:$H$10</definedName>
    <definedName name="_xlnm.Criteria" localSheetId="1">제2작업!$B$14:$C$16</definedName>
    <definedName name="_xlnm.Extract" localSheetId="1">제2작업!$B$18:$E$18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/>
  <c r="E14" i="1"/>
  <c r="E13" i="1"/>
  <c r="J14" i="1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<sst xmlns="http://schemas.openxmlformats.org/spreadsheetml/2006/main" count="101" uniqueCount="44">
  <si>
    <t>관리코드</t>
    <phoneticPr fontId="2" type="noConversion"/>
  </si>
  <si>
    <t>꽃명</t>
    <phoneticPr fontId="2" type="noConversion"/>
  </si>
  <si>
    <t>꽃색</t>
    <phoneticPr fontId="2" type="noConversion"/>
  </si>
  <si>
    <t>개화기
(시작월)</t>
    <phoneticPr fontId="2" type="noConversion"/>
  </si>
  <si>
    <t>주문수량(개)</t>
    <phoneticPr fontId="2" type="noConversion"/>
  </si>
  <si>
    <t>씨앗/구근
가격</t>
    <phoneticPr fontId="2" type="noConversion"/>
  </si>
  <si>
    <t>높이(cm)</t>
    <phoneticPr fontId="2" type="noConversion"/>
  </si>
  <si>
    <t>계절</t>
    <phoneticPr fontId="2" type="noConversion"/>
  </si>
  <si>
    <t>파종적기</t>
    <phoneticPr fontId="2" type="noConversion"/>
  </si>
  <si>
    <t>NA23-23</t>
  </si>
  <si>
    <t>NA23-23</t>
    <phoneticPr fontId="2" type="noConversion"/>
  </si>
  <si>
    <t>NR14-21</t>
    <phoneticPr fontId="2" type="noConversion"/>
  </si>
  <si>
    <t>BE23-14</t>
    <phoneticPr fontId="2" type="noConversion"/>
  </si>
  <si>
    <t>LN31-41</t>
    <phoneticPr fontId="2" type="noConversion"/>
  </si>
  <si>
    <t>RE52-31</t>
    <phoneticPr fontId="2" type="noConversion"/>
  </si>
  <si>
    <t>NA31-11</t>
    <phoneticPr fontId="2" type="noConversion"/>
  </si>
  <si>
    <t>SE12-22</t>
    <phoneticPr fontId="2" type="noConversion"/>
  </si>
  <si>
    <t>MA13-22</t>
    <phoneticPr fontId="2" type="noConversion"/>
  </si>
  <si>
    <t>꽃무릇</t>
    <phoneticPr fontId="2" type="noConversion"/>
  </si>
  <si>
    <t>별꽃</t>
    <phoneticPr fontId="2" type="noConversion"/>
  </si>
  <si>
    <t>수선화</t>
    <phoneticPr fontId="2" type="noConversion"/>
  </si>
  <si>
    <t>상사화</t>
    <phoneticPr fontId="2" type="noConversion"/>
  </si>
  <si>
    <t>산딸기꽃</t>
    <phoneticPr fontId="2" type="noConversion"/>
  </si>
  <si>
    <t>양지꽃</t>
    <phoneticPr fontId="2" type="noConversion"/>
  </si>
  <si>
    <t>금계국</t>
    <phoneticPr fontId="2" type="noConversion"/>
  </si>
  <si>
    <t>제비꽃</t>
    <phoneticPr fontId="2" type="noConversion"/>
  </si>
  <si>
    <t>빨강</t>
  </si>
  <si>
    <t>빨강</t>
    <phoneticPr fontId="2" type="noConversion"/>
  </si>
  <si>
    <t>흰색</t>
  </si>
  <si>
    <t>흰색</t>
    <phoneticPr fontId="2" type="noConversion"/>
  </si>
  <si>
    <t>노랑</t>
  </si>
  <si>
    <t>노랑</t>
    <phoneticPr fontId="2" type="noConversion"/>
  </si>
  <si>
    <t>최저 높이(cm)</t>
    <phoneticPr fontId="2" type="noConversion"/>
  </si>
  <si>
    <t>흰색 꽃의 주문수량(개) 합계</t>
    <phoneticPr fontId="2" type="noConversion"/>
  </si>
  <si>
    <t>빨강 꽃들의 평균 높이(cm)</t>
    <phoneticPr fontId="2" type="noConversion"/>
  </si>
  <si>
    <t>&gt;=50000</t>
    <phoneticPr fontId="2" type="noConversion"/>
  </si>
  <si>
    <t>행 레이블</t>
  </si>
  <si>
    <t>총합계</t>
  </si>
  <si>
    <t>열 레이블</t>
  </si>
  <si>
    <t>평균 : 주문수량(개)</t>
  </si>
  <si>
    <t>1-30000</t>
  </si>
  <si>
    <t>30001-60000</t>
  </si>
  <si>
    <t>60001-90000</t>
  </si>
  <si>
    <t>개수 : 꽃명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</si>
</sst>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6" fontId="1" fillId="0" borderId="16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12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21" xfId="0" applyFont="1" applyFill="1" applyBorder="1" applyAlignment="1">
      <alignment horizontal="center" vertical="center"/>
    </xf>
    <xf numFmtId="176" fontId="1" fillId="0" borderId="22" xfId="0" applyNumberFormat="1" applyFont="1" applyFill="1" applyBorder="1">
      <alignment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2" xfId="0" applyFont="1" applyFill="1" applyBorder="1">
      <alignment vertical="center"/>
    </xf>
    <xf numFmtId="176" fontId="1" fillId="0" borderId="26" xfId="0" applyNumberFormat="1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</cellXfs>
  <cellStyles count="1">
    <cellStyle name="표준" xfId="0" builtinId="0"/>
  </cellStyles>
  <dxfs count="10">
    <dxf>
      <font>
        <b/>
        <i val="0"/>
        <color rgb="FF0070C0"/>
      </font>
    </dxf>
    <dxf>
      <font>
        <b/>
        <i val="0"/>
        <color rgb="FF0070C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numFmt numFmtId="176" formatCode="#,##0&quot;원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제1작업!$G$4</c:f>
              <c:strCache>
                <c:ptCount val="1"/>
                <c:pt idx="0">
                  <c:v>씨앗/구근
가격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제1작업!$C$5:$C$12</c:f>
              <c:strCache>
                <c:ptCount val="8"/>
                <c:pt idx="0">
                  <c:v>꽃무릇</c:v>
                </c:pt>
                <c:pt idx="1">
                  <c:v>별꽃</c:v>
                </c:pt>
                <c:pt idx="2">
                  <c:v>수선화</c:v>
                </c:pt>
                <c:pt idx="3">
                  <c:v>상사화</c:v>
                </c:pt>
                <c:pt idx="4">
                  <c:v>산딸기꽃</c:v>
                </c:pt>
                <c:pt idx="5">
                  <c:v>양지꽃</c:v>
                </c:pt>
                <c:pt idx="6">
                  <c:v>금계국</c:v>
                </c:pt>
                <c:pt idx="7">
                  <c:v>제비꽃</c:v>
                </c:pt>
              </c:strCache>
            </c:strRef>
          </c:cat>
          <c:val>
            <c:numRef>
              <c:f>제1작업!$G$5:$G$12</c:f>
              <c:numCache>
                <c:formatCode>#,##0"원"</c:formatCode>
                <c:ptCount val="8"/>
                <c:pt idx="0">
                  <c:v>65900</c:v>
                </c:pt>
                <c:pt idx="1">
                  <c:v>50000</c:v>
                </c:pt>
                <c:pt idx="2">
                  <c:v>20000</c:v>
                </c:pt>
                <c:pt idx="3">
                  <c:v>25000</c:v>
                </c:pt>
                <c:pt idx="4">
                  <c:v>43000</c:v>
                </c:pt>
                <c:pt idx="5">
                  <c:v>35000</c:v>
                </c:pt>
                <c:pt idx="6">
                  <c:v>15000</c:v>
                </c:pt>
                <c:pt idx="7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0-4AB9-850C-C6F311587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005824"/>
        <c:axId val="456019552"/>
      </c:barChart>
      <c:lineChart>
        <c:grouping val="standard"/>
        <c:varyColors val="0"/>
        <c:ser>
          <c:idx val="0"/>
          <c:order val="0"/>
          <c:tx>
            <c:strRef>
              <c:f>제1작업!$F$4</c:f>
              <c:strCache>
                <c:ptCount val="1"/>
                <c:pt idx="0">
                  <c:v>주문수량(개)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제1작업!$C$5:$C$12</c:f>
              <c:strCache>
                <c:ptCount val="8"/>
                <c:pt idx="0">
                  <c:v>꽃무릇</c:v>
                </c:pt>
                <c:pt idx="1">
                  <c:v>별꽃</c:v>
                </c:pt>
                <c:pt idx="2">
                  <c:v>수선화</c:v>
                </c:pt>
                <c:pt idx="3">
                  <c:v>상사화</c:v>
                </c:pt>
                <c:pt idx="4">
                  <c:v>산딸기꽃</c:v>
                </c:pt>
                <c:pt idx="5">
                  <c:v>양지꽃</c:v>
                </c:pt>
                <c:pt idx="6">
                  <c:v>금계국</c:v>
                </c:pt>
                <c:pt idx="7">
                  <c:v>제비꽃</c:v>
                </c:pt>
              </c:strCache>
            </c:strRef>
          </c:cat>
          <c:val>
            <c:numRef>
              <c:f>제1작업!$F$5:$F$12</c:f>
              <c:numCache>
                <c:formatCode>General</c:formatCode>
                <c:ptCount val="8"/>
                <c:pt idx="0">
                  <c:v>58</c:v>
                </c:pt>
                <c:pt idx="1">
                  <c:v>47</c:v>
                </c:pt>
                <c:pt idx="2">
                  <c:v>16</c:v>
                </c:pt>
                <c:pt idx="3">
                  <c:v>27</c:v>
                </c:pt>
                <c:pt idx="4">
                  <c:v>33</c:v>
                </c:pt>
                <c:pt idx="5">
                  <c:v>24</c:v>
                </c:pt>
                <c:pt idx="6">
                  <c:v>85</c:v>
                </c:pt>
                <c:pt idx="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0-4AB9-850C-C6F311587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141952"/>
        <c:axId val="578133632"/>
      </c:lineChart>
      <c:catAx>
        <c:axId val="4560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456019552"/>
        <c:crosses val="autoZero"/>
        <c:auto val="1"/>
        <c:lblAlgn val="ctr"/>
        <c:lblOffset val="100"/>
        <c:noMultiLvlLbl val="0"/>
      </c:catAx>
      <c:valAx>
        <c:axId val="4560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원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456005824"/>
        <c:crosses val="autoZero"/>
        <c:crossBetween val="between"/>
      </c:valAx>
      <c:valAx>
        <c:axId val="578133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578141952"/>
        <c:crosses val="max"/>
        <c:crossBetween val="between"/>
      </c:valAx>
      <c:catAx>
        <c:axId val="578141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8133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680471-27AF-4E6A-8F35-D605CB45E316}">
  <sheetPr/>
  <sheetViews>
    <sheetView tabSelected="1"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200025</xdr:rowOff>
    </xdr:from>
    <xdr:to>
      <xdr:col>6</xdr:col>
      <xdr:colOff>466725</xdr:colOff>
      <xdr:row>2</xdr:row>
      <xdr:rowOff>219075</xdr:rowOff>
    </xdr:to>
    <xdr:sp macro="" textlink="">
      <xdr:nvSpPr>
        <xdr:cNvPr id="2" name="사다리꼴 1">
          <a:extLst>
            <a:ext uri="{FF2B5EF4-FFF2-40B4-BE49-F238E27FC236}">
              <a16:creationId xmlns:a16="http://schemas.microsoft.com/office/drawing/2014/main" id="{83350770-03FA-4BF1-864C-CF290517CBD3}"/>
            </a:ext>
          </a:extLst>
        </xdr:cNvPr>
        <xdr:cNvSpPr/>
      </xdr:nvSpPr>
      <xdr:spPr>
        <a:xfrm>
          <a:off x="247650" y="200025"/>
          <a:ext cx="4057650" cy="647700"/>
        </a:xfrm>
        <a:prstGeom prst="trapezoid">
          <a:avLst/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야생화 씨앗 판매 현황</a:t>
          </a:r>
        </a:p>
      </xdr:txBody>
    </xdr:sp>
    <xdr:clientData/>
  </xdr:twoCellAnchor>
  <xdr:twoCellAnchor editAs="oneCell">
    <xdr:from>
      <xdr:col>6</xdr:col>
      <xdr:colOff>542925</xdr:colOff>
      <xdr:row>0</xdr:row>
      <xdr:rowOff>171450</xdr:rowOff>
    </xdr:from>
    <xdr:to>
      <xdr:col>10</xdr:col>
      <xdr:colOff>19050</xdr:colOff>
      <xdr:row>2</xdr:row>
      <xdr:rowOff>238125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B8AC70A-0769-42BF-AC6E-8F93C25D7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171450"/>
          <a:ext cx="25622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5B217F3-B30F-4B23-80BA-5C5D6C07D2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4.619653587964" createdVersion="7" refreshedVersion="7" minRefreshableVersion="3" recordCount="8" xr:uid="{29FB6C84-1430-46F6-B7D0-9DBEB316E843}">
  <cacheSource type="worksheet">
    <worksheetSource ref="C4:G12" sheet="제1작업"/>
  </cacheSource>
  <cacheFields count="5">
    <cacheField name="꽃명" numFmtId="0">
      <sharedItems count="8">
        <s v="꽃무릇"/>
        <s v="별꽃"/>
        <s v="수선화"/>
        <s v="상사화"/>
        <s v="산딸기꽃"/>
        <s v="양지꽃"/>
        <s v="금계국"/>
        <s v="제비꽃"/>
      </sharedItems>
    </cacheField>
    <cacheField name="꽃색" numFmtId="0">
      <sharedItems count="3">
        <s v="빨강"/>
        <s v="흰색"/>
        <s v="노랑"/>
      </sharedItems>
    </cacheField>
    <cacheField name="개화기_x000a_(시작월)" numFmtId="0">
      <sharedItems containsSemiMixedTypes="0" containsString="0" containsNumber="1" containsInteger="1" minValue="3" maxValue="12"/>
    </cacheField>
    <cacheField name="주문수량(개)" numFmtId="0">
      <sharedItems containsSemiMixedTypes="0" containsString="0" containsNumber="1" containsInteger="1" minValue="16" maxValue="85" count="8">
        <n v="58"/>
        <n v="47"/>
        <n v="16"/>
        <n v="27"/>
        <n v="33"/>
        <n v="24"/>
        <n v="85"/>
        <n v="65"/>
      </sharedItems>
    </cacheField>
    <cacheField name="씨앗/구근_x000a_가격" numFmtId="176">
      <sharedItems containsSemiMixedTypes="0" containsString="0" containsNumber="1" containsInteger="1" minValue="15000" maxValue="65900" count="8">
        <n v="65900"/>
        <n v="50000"/>
        <n v="20000"/>
        <n v="25000"/>
        <n v="43000"/>
        <n v="35000"/>
        <n v="15000"/>
        <n v="40000"/>
      </sharedItems>
      <fieldGroup base="4">
        <rangePr autoStart="0" startNum="1" endNum="65900" groupInterval="30000"/>
        <groupItems count="5">
          <s v="&lt;1"/>
          <s v="1-30000"/>
          <s v="30001-60000"/>
          <s v="60001-90000"/>
          <s v="&gt;90001"/>
        </groupItems>
      </fieldGroup>
    </cacheField>
  </cacheFields>
  <extLst>
    <ext xmlns:x14="http://schemas.microsoft.com/office/spreadsheetml/2009/9/main" uri="{725AE2AE-9491-48be-B2B4-4EB974FC3084}">
      <x14:pivotCacheDefinition pivotCacheId="667392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9"/>
    <x v="0"/>
    <x v="0"/>
  </r>
  <r>
    <x v="1"/>
    <x v="1"/>
    <n v="3"/>
    <x v="1"/>
    <x v="1"/>
  </r>
  <r>
    <x v="2"/>
    <x v="1"/>
    <n v="12"/>
    <x v="2"/>
    <x v="2"/>
  </r>
  <r>
    <x v="3"/>
    <x v="0"/>
    <n v="4"/>
    <x v="3"/>
    <x v="3"/>
  </r>
  <r>
    <x v="4"/>
    <x v="1"/>
    <n v="5"/>
    <x v="4"/>
    <x v="4"/>
  </r>
  <r>
    <x v="5"/>
    <x v="2"/>
    <n v="4"/>
    <x v="5"/>
    <x v="5"/>
  </r>
  <r>
    <x v="6"/>
    <x v="2"/>
    <n v="6"/>
    <x v="6"/>
    <x v="6"/>
  </r>
  <r>
    <x v="7"/>
    <x v="0"/>
    <n v="6"/>
    <x v="7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F58E2-9391-43CF-936A-A11CDA69939C}" name="피벗 테이블1" cacheId="14" applyNumberFormats="0" applyBorderFormats="0" applyFontFormats="0" applyPatternFormats="0" applyAlignmentFormats="0" applyWidthHeightFormats="1" dataCaption="값" updatedVersion="7" minRefreshableVersion="3" useAutoFormatting="1" colGrandTotals="0" itemPrintTitles="1" createdVersion="7" indent="0" outline="1" outlineData="1" multipleFieldFilters="0" chartFormat="1">
  <location ref="B2:H8" firstHeaderRow="1" firstDataRow="3" firstDataCol="1"/>
  <pivotFields count="5">
    <pivotField dataField="1" showAll="0" defaultSubtotal="0">
      <items count="8">
        <item x="6"/>
        <item x="0"/>
        <item x="1"/>
        <item x="4"/>
        <item x="3"/>
        <item x="2"/>
        <item x="5"/>
        <item x="7"/>
      </items>
    </pivotField>
    <pivotField axis="axisCol" multipleItemSelectionAllowed="1" showAll="0" sortType="descending">
      <items count="4">
        <item x="1"/>
        <item x="0"/>
        <item x="2"/>
        <item t="default"/>
      </items>
    </pivotField>
    <pivotField showAll="0"/>
    <pivotField dataField="1" showAll="0">
      <items count="9">
        <item x="2"/>
        <item x="5"/>
        <item x="3"/>
        <item x="4"/>
        <item x="1"/>
        <item x="0"/>
        <item x="7"/>
        <item x="6"/>
        <item t="default"/>
      </items>
    </pivotField>
    <pivotField axis="axisRow" numFmtId="176" showAll="0" sortType="ascending">
      <items count="6">
        <item x="0"/>
        <item x="4"/>
        <item x="1"/>
        <item x="2"/>
        <item x="3"/>
        <item t="default"/>
      </items>
    </pivotField>
  </pivotFields>
  <rowFields count="1">
    <field x="4"/>
  </rowFields>
  <rowItems count="4"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개수 : 꽃명" fld="0" subtotal="count" baseField="0" baseItem="0"/>
    <dataField name="평균 : 주문수량(개)" fld="3" subtotal="average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29E26-4F2C-4CA0-B8BD-33E25BCDFE45}" name="표1" displayName="표1" ref="B18:E22" totalsRowShown="0" headerRowDxfId="2" headerRowBorderDxfId="8" tableBorderDxfId="9" totalsRowBorderDxfId="7">
  <autoFilter ref="B18:E22" xr:uid="{FF029E26-4F2C-4CA0-B8BD-33E25BCDFE45}">
    <filterColumn colId="0" hiddenButton="1"/>
    <filterColumn colId="1" hiddenButton="1"/>
    <filterColumn colId="2" hiddenButton="1"/>
    <filterColumn colId="3" hiddenButton="1"/>
  </autoFilter>
  <tableColumns count="4">
    <tableColumn id="1" xr3:uid="{6E23C768-FDC7-411D-9A78-1812F3B229B5}" name="꽃명" dataDxfId="6"/>
    <tableColumn id="2" xr3:uid="{80539863-AE69-42D0-8D70-4728BEBDFA4D}" name="꽃색" dataDxfId="5"/>
    <tableColumn id="3" xr3:uid="{7B9120DC-EAAE-447D-9C61-ED4D85DB6231}" name="주문수량(개)" dataDxfId="4"/>
    <tableColumn id="4" xr3:uid="{90A3CFB5-B352-4376-9125-1CD3600BFAF1}" name="씨앗/구근_x000a_가격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2EA2-FF41-4002-86FE-46DC3BC4EA54}">
  <dimension ref="B1:J14"/>
  <sheetViews>
    <sheetView workbookViewId="0">
      <selection activeCell="K5" sqref="K5"/>
    </sheetView>
  </sheetViews>
  <sheetFormatPr defaultRowHeight="13.5" x14ac:dyDescent="0.3"/>
  <cols>
    <col min="1" max="1" width="1.625" style="1" customWidth="1"/>
    <col min="2" max="2" width="9.125" style="1" bestFit="1" customWidth="1"/>
    <col min="3" max="5" width="9" style="1"/>
    <col min="6" max="6" width="12.625" style="1" bestFit="1" customWidth="1"/>
    <col min="7" max="7" width="9.75" style="1" bestFit="1" customWidth="1"/>
    <col min="8" max="8" width="9.125" style="1" bestFit="1" customWidth="1"/>
    <col min="9" max="9" width="12.625" style="1" bestFit="1" customWidth="1"/>
    <col min="10" max="11" width="9" style="1"/>
    <col min="12" max="12" width="9" style="1" customWidth="1"/>
    <col min="13" max="16384" width="9" style="1"/>
  </cols>
  <sheetData>
    <row r="1" spans="2:10" ht="24.95" customHeight="1" x14ac:dyDescent="0.3"/>
    <row r="2" spans="2:10" ht="24.95" customHeight="1" x14ac:dyDescent="0.3"/>
    <row r="3" spans="2:10" ht="24.95" customHeight="1" thickBot="1" x14ac:dyDescent="0.35"/>
    <row r="4" spans="2:10" ht="27.75" thickBot="1" x14ac:dyDescent="0.35">
      <c r="B4" s="24" t="s">
        <v>0</v>
      </c>
      <c r="C4" s="25" t="s">
        <v>1</v>
      </c>
      <c r="D4" s="25" t="s">
        <v>2</v>
      </c>
      <c r="E4" s="26" t="s">
        <v>3</v>
      </c>
      <c r="F4" s="25" t="s">
        <v>4</v>
      </c>
      <c r="G4" s="26" t="s">
        <v>5</v>
      </c>
      <c r="H4" s="25" t="s">
        <v>6</v>
      </c>
      <c r="I4" s="25" t="s">
        <v>7</v>
      </c>
      <c r="J4" s="27" t="s">
        <v>8</v>
      </c>
    </row>
    <row r="5" spans="2:10" x14ac:dyDescent="0.3">
      <c r="B5" s="20" t="s">
        <v>10</v>
      </c>
      <c r="C5" s="21" t="s">
        <v>18</v>
      </c>
      <c r="D5" s="21" t="s">
        <v>27</v>
      </c>
      <c r="E5" s="22">
        <v>9</v>
      </c>
      <c r="F5" s="22">
        <v>58</v>
      </c>
      <c r="G5" s="29">
        <v>65900</v>
      </c>
      <c r="H5" s="22">
        <v>50</v>
      </c>
      <c r="I5" s="21" t="str">
        <f>CHOOSE(RIGHT(B5,1),"봄","여름","가을","겨울")</f>
        <v>가을</v>
      </c>
      <c r="J5" s="23">
        <f>IF(E5&lt;=4,12+E5-4,E5-4)</f>
        <v>5</v>
      </c>
    </row>
    <row r="6" spans="2:10" x14ac:dyDescent="0.3">
      <c r="B6" s="8" t="s">
        <v>11</v>
      </c>
      <c r="C6" s="9" t="s">
        <v>19</v>
      </c>
      <c r="D6" s="9" t="s">
        <v>29</v>
      </c>
      <c r="E6" s="2">
        <v>3</v>
      </c>
      <c r="F6" s="2">
        <v>47</v>
      </c>
      <c r="G6" s="30">
        <v>50000</v>
      </c>
      <c r="H6" s="2">
        <v>10</v>
      </c>
      <c r="I6" s="9" t="str">
        <f t="shared" ref="I6:I12" si="0">CHOOSE(RIGHT(B6,1),"봄","여름","가을","겨울")</f>
        <v>봄</v>
      </c>
      <c r="J6" s="10">
        <f t="shared" ref="J6:J12" si="1">IF(E6&lt;=4,12+E6-4,E6-4)</f>
        <v>11</v>
      </c>
    </row>
    <row r="7" spans="2:10" x14ac:dyDescent="0.3">
      <c r="B7" s="8" t="s">
        <v>12</v>
      </c>
      <c r="C7" s="9" t="s">
        <v>20</v>
      </c>
      <c r="D7" s="9" t="s">
        <v>29</v>
      </c>
      <c r="E7" s="2">
        <v>12</v>
      </c>
      <c r="F7" s="2">
        <v>16</v>
      </c>
      <c r="G7" s="30">
        <v>20000</v>
      </c>
      <c r="H7" s="2">
        <v>30</v>
      </c>
      <c r="I7" s="9" t="str">
        <f t="shared" si="0"/>
        <v>겨울</v>
      </c>
      <c r="J7" s="10">
        <f t="shared" si="1"/>
        <v>8</v>
      </c>
    </row>
    <row r="8" spans="2:10" x14ac:dyDescent="0.3">
      <c r="B8" s="8" t="s">
        <v>13</v>
      </c>
      <c r="C8" s="9" t="s">
        <v>21</v>
      </c>
      <c r="D8" s="9" t="s">
        <v>27</v>
      </c>
      <c r="E8" s="2">
        <v>4</v>
      </c>
      <c r="F8" s="2">
        <v>27</v>
      </c>
      <c r="G8" s="30">
        <v>25000</v>
      </c>
      <c r="H8" s="2">
        <v>50</v>
      </c>
      <c r="I8" s="9" t="str">
        <f t="shared" si="0"/>
        <v>봄</v>
      </c>
      <c r="J8" s="10">
        <f t="shared" si="1"/>
        <v>12</v>
      </c>
    </row>
    <row r="9" spans="2:10" x14ac:dyDescent="0.3">
      <c r="B9" s="8" t="s">
        <v>14</v>
      </c>
      <c r="C9" s="9" t="s">
        <v>22</v>
      </c>
      <c r="D9" s="9" t="s">
        <v>29</v>
      </c>
      <c r="E9" s="2">
        <v>5</v>
      </c>
      <c r="F9" s="2">
        <v>33</v>
      </c>
      <c r="G9" s="30">
        <v>43000</v>
      </c>
      <c r="H9" s="2">
        <v>90</v>
      </c>
      <c r="I9" s="9" t="str">
        <f t="shared" si="0"/>
        <v>봄</v>
      </c>
      <c r="J9" s="10">
        <f t="shared" si="1"/>
        <v>1</v>
      </c>
    </row>
    <row r="10" spans="2:10" x14ac:dyDescent="0.3">
      <c r="B10" s="8" t="s">
        <v>15</v>
      </c>
      <c r="C10" s="9" t="s">
        <v>23</v>
      </c>
      <c r="D10" s="9" t="s">
        <v>31</v>
      </c>
      <c r="E10" s="2">
        <v>4</v>
      </c>
      <c r="F10" s="2">
        <v>24</v>
      </c>
      <c r="G10" s="30">
        <v>35000</v>
      </c>
      <c r="H10" s="2">
        <v>20</v>
      </c>
      <c r="I10" s="9" t="str">
        <f t="shared" si="0"/>
        <v>봄</v>
      </c>
      <c r="J10" s="10">
        <f t="shared" si="1"/>
        <v>12</v>
      </c>
    </row>
    <row r="11" spans="2:10" x14ac:dyDescent="0.3">
      <c r="B11" s="8" t="s">
        <v>16</v>
      </c>
      <c r="C11" s="9" t="s">
        <v>24</v>
      </c>
      <c r="D11" s="9" t="s">
        <v>31</v>
      </c>
      <c r="E11" s="2">
        <v>6</v>
      </c>
      <c r="F11" s="2">
        <v>85</v>
      </c>
      <c r="G11" s="30">
        <v>15000</v>
      </c>
      <c r="H11" s="2">
        <v>50</v>
      </c>
      <c r="I11" s="9" t="str">
        <f t="shared" si="0"/>
        <v>여름</v>
      </c>
      <c r="J11" s="10">
        <f t="shared" si="1"/>
        <v>2</v>
      </c>
    </row>
    <row r="12" spans="2:10" ht="14.25" thickBot="1" x14ac:dyDescent="0.35">
      <c r="B12" s="13" t="s">
        <v>17</v>
      </c>
      <c r="C12" s="14" t="s">
        <v>25</v>
      </c>
      <c r="D12" s="14" t="s">
        <v>27</v>
      </c>
      <c r="E12" s="15">
        <v>6</v>
      </c>
      <c r="F12" s="15">
        <v>65</v>
      </c>
      <c r="G12" s="31">
        <v>40000</v>
      </c>
      <c r="H12" s="15">
        <v>10</v>
      </c>
      <c r="I12" s="14" t="str">
        <f t="shared" si="0"/>
        <v>여름</v>
      </c>
      <c r="J12" s="16">
        <f t="shared" si="1"/>
        <v>2</v>
      </c>
    </row>
    <row r="13" spans="2:10" x14ac:dyDescent="0.3">
      <c r="B13" s="17" t="s">
        <v>32</v>
      </c>
      <c r="C13" s="18"/>
      <c r="D13" s="18"/>
      <c r="E13" s="6">
        <f>MIN(H5:H12)</f>
        <v>10</v>
      </c>
      <c r="F13" s="19"/>
      <c r="G13" s="18" t="s">
        <v>34</v>
      </c>
      <c r="H13" s="18"/>
      <c r="I13" s="18"/>
      <c r="J13" s="7">
        <f>ROUND(DAVERAGE(D4:H12,H4,D4:D5),0)</f>
        <v>37</v>
      </c>
    </row>
    <row r="14" spans="2:10" ht="14.25" thickBot="1" x14ac:dyDescent="0.35">
      <c r="B14" s="3" t="s">
        <v>33</v>
      </c>
      <c r="C14" s="4"/>
      <c r="D14" s="4"/>
      <c r="E14" s="11">
        <f ca="1">SUMIF(D4:F12,"흰색",F4)</f>
        <v>96</v>
      </c>
      <c r="F14" s="5"/>
      <c r="G14" s="28" t="s">
        <v>0</v>
      </c>
      <c r="H14" s="11" t="s">
        <v>9</v>
      </c>
      <c r="I14" s="28" t="s">
        <v>4</v>
      </c>
      <c r="J14" s="12">
        <f>VLOOKUP(H14,B4:H12,5,FALSE)</f>
        <v>58</v>
      </c>
    </row>
  </sheetData>
  <mergeCells count="4">
    <mergeCell ref="B13:D13"/>
    <mergeCell ref="F13:F14"/>
    <mergeCell ref="B14:D14"/>
    <mergeCell ref="G13:I13"/>
  </mergeCells>
  <phoneticPr fontId="2" type="noConversion"/>
  <conditionalFormatting sqref="B5:J12">
    <cfRule type="expression" dxfId="1" priority="1">
      <formula>$F1048574:$F5&gt;=50</formula>
    </cfRule>
  </conditionalFormatting>
  <dataValidations count="1">
    <dataValidation type="list" allowBlank="1" showInputMessage="1" showErrorMessage="1" sqref="H14" xr:uid="{4C34A168-B875-4188-B487-8BF7511816E6}">
      <formula1>$B$5:$B$12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98F-0C07-48F9-8B92-18BFF91BD4F9}">
  <dimension ref="B2:H22"/>
  <sheetViews>
    <sheetView workbookViewId="0">
      <selection activeCell="H18" sqref="H18"/>
    </sheetView>
  </sheetViews>
  <sheetFormatPr defaultRowHeight="16.5" x14ac:dyDescent="0.3"/>
  <cols>
    <col min="1" max="1" width="1.625" customWidth="1"/>
    <col min="2" max="2" width="10.25" bestFit="1" customWidth="1"/>
    <col min="4" max="4" width="14.5" customWidth="1"/>
    <col min="5" max="5" width="11.625" customWidth="1"/>
    <col min="6" max="6" width="12.625" bestFit="1" customWidth="1"/>
    <col min="7" max="7" width="10.125" bestFit="1" customWidth="1"/>
  </cols>
  <sheetData>
    <row r="2" spans="2:8" ht="27" x14ac:dyDescent="0.3">
      <c r="B2" s="32" t="s">
        <v>0</v>
      </c>
      <c r="C2" s="32" t="s">
        <v>1</v>
      </c>
      <c r="D2" s="32" t="s">
        <v>2</v>
      </c>
      <c r="E2" s="33" t="s">
        <v>3</v>
      </c>
      <c r="F2" s="32" t="s">
        <v>4</v>
      </c>
      <c r="G2" s="33" t="s">
        <v>5</v>
      </c>
      <c r="H2" s="32" t="s">
        <v>6</v>
      </c>
    </row>
    <row r="3" spans="2:8" x14ac:dyDescent="0.3">
      <c r="B3" s="9" t="s">
        <v>10</v>
      </c>
      <c r="C3" s="9" t="s">
        <v>18</v>
      </c>
      <c r="D3" s="9" t="s">
        <v>27</v>
      </c>
      <c r="E3" s="2">
        <v>9</v>
      </c>
      <c r="F3" s="2">
        <v>58</v>
      </c>
      <c r="G3" s="30">
        <v>65900</v>
      </c>
      <c r="H3" s="2">
        <v>50</v>
      </c>
    </row>
    <row r="4" spans="2:8" x14ac:dyDescent="0.3">
      <c r="B4" s="9" t="s">
        <v>11</v>
      </c>
      <c r="C4" s="9" t="s">
        <v>19</v>
      </c>
      <c r="D4" s="9" t="s">
        <v>29</v>
      </c>
      <c r="E4" s="2">
        <v>3</v>
      </c>
      <c r="F4" s="2">
        <v>47</v>
      </c>
      <c r="G4" s="30">
        <v>50000</v>
      </c>
      <c r="H4" s="2">
        <v>10</v>
      </c>
    </row>
    <row r="5" spans="2:8" x14ac:dyDescent="0.3">
      <c r="B5" s="9" t="s">
        <v>12</v>
      </c>
      <c r="C5" s="9" t="s">
        <v>20</v>
      </c>
      <c r="D5" s="9" t="s">
        <v>29</v>
      </c>
      <c r="E5" s="2">
        <v>12</v>
      </c>
      <c r="F5" s="2">
        <v>16</v>
      </c>
      <c r="G5" s="30">
        <v>20000</v>
      </c>
      <c r="H5" s="2">
        <v>30</v>
      </c>
    </row>
    <row r="6" spans="2:8" x14ac:dyDescent="0.3">
      <c r="B6" s="9" t="s">
        <v>13</v>
      </c>
      <c r="C6" s="9" t="s">
        <v>21</v>
      </c>
      <c r="D6" s="9" t="s">
        <v>27</v>
      </c>
      <c r="E6" s="2">
        <v>4</v>
      </c>
      <c r="F6" s="2">
        <v>27</v>
      </c>
      <c r="G6" s="30">
        <v>25000</v>
      </c>
      <c r="H6" s="2">
        <v>50</v>
      </c>
    </row>
    <row r="7" spans="2:8" x14ac:dyDescent="0.3">
      <c r="B7" s="9" t="s">
        <v>14</v>
      </c>
      <c r="C7" s="9" t="s">
        <v>22</v>
      </c>
      <c r="D7" s="9" t="s">
        <v>29</v>
      </c>
      <c r="E7" s="2">
        <v>5</v>
      </c>
      <c r="F7" s="2">
        <v>33</v>
      </c>
      <c r="G7" s="30">
        <v>43000</v>
      </c>
      <c r="H7" s="2">
        <v>90</v>
      </c>
    </row>
    <row r="8" spans="2:8" x14ac:dyDescent="0.3">
      <c r="B8" s="9" t="s">
        <v>15</v>
      </c>
      <c r="C8" s="9" t="s">
        <v>23</v>
      </c>
      <c r="D8" s="9" t="s">
        <v>31</v>
      </c>
      <c r="E8" s="2">
        <v>4</v>
      </c>
      <c r="F8" s="2">
        <v>24</v>
      </c>
      <c r="G8" s="30">
        <v>35000</v>
      </c>
      <c r="H8" s="2">
        <v>20</v>
      </c>
    </row>
    <row r="9" spans="2:8" x14ac:dyDescent="0.3">
      <c r="B9" s="9" t="s">
        <v>16</v>
      </c>
      <c r="C9" s="9" t="s">
        <v>24</v>
      </c>
      <c r="D9" s="9" t="s">
        <v>31</v>
      </c>
      <c r="E9" s="2">
        <v>6</v>
      </c>
      <c r="F9" s="2">
        <v>85</v>
      </c>
      <c r="G9" s="30">
        <v>15000</v>
      </c>
      <c r="H9" s="2">
        <v>50</v>
      </c>
    </row>
    <row r="10" spans="2:8" x14ac:dyDescent="0.3">
      <c r="B10" s="9" t="s">
        <v>17</v>
      </c>
      <c r="C10" s="9" t="s">
        <v>25</v>
      </c>
      <c r="D10" s="9" t="s">
        <v>27</v>
      </c>
      <c r="E10" s="2">
        <v>6</v>
      </c>
      <c r="F10" s="2">
        <v>65</v>
      </c>
      <c r="G10" s="30">
        <v>40000</v>
      </c>
      <c r="H10" s="2">
        <v>10</v>
      </c>
    </row>
    <row r="14" spans="2:8" ht="27" x14ac:dyDescent="0.3">
      <c r="B14" s="32" t="s">
        <v>2</v>
      </c>
      <c r="C14" s="33" t="s">
        <v>5</v>
      </c>
    </row>
    <row r="15" spans="2:8" x14ac:dyDescent="0.3">
      <c r="B15" s="34" t="s">
        <v>31</v>
      </c>
      <c r="C15" s="34"/>
    </row>
    <row r="16" spans="2:8" x14ac:dyDescent="0.3">
      <c r="B16" s="34"/>
      <c r="C16" s="34" t="s">
        <v>35</v>
      </c>
    </row>
    <row r="18" spans="2:5" ht="40.5" x14ac:dyDescent="0.3">
      <c r="B18" s="39" t="s">
        <v>1</v>
      </c>
      <c r="C18" s="40" t="s">
        <v>2</v>
      </c>
      <c r="D18" s="40" t="s">
        <v>4</v>
      </c>
      <c r="E18" s="41" t="s">
        <v>5</v>
      </c>
    </row>
    <row r="19" spans="2:5" x14ac:dyDescent="0.3">
      <c r="B19" s="37" t="s">
        <v>18</v>
      </c>
      <c r="C19" s="35" t="s">
        <v>27</v>
      </c>
      <c r="D19" s="36">
        <v>58</v>
      </c>
      <c r="E19" s="38">
        <v>65900</v>
      </c>
    </row>
    <row r="20" spans="2:5" x14ac:dyDescent="0.3">
      <c r="B20" s="37" t="s">
        <v>19</v>
      </c>
      <c r="C20" s="35" t="s">
        <v>29</v>
      </c>
      <c r="D20" s="36">
        <v>47</v>
      </c>
      <c r="E20" s="38">
        <v>50000</v>
      </c>
    </row>
    <row r="21" spans="2:5" x14ac:dyDescent="0.3">
      <c r="B21" s="37" t="s">
        <v>23</v>
      </c>
      <c r="C21" s="35" t="s">
        <v>31</v>
      </c>
      <c r="D21" s="36">
        <v>24</v>
      </c>
      <c r="E21" s="38">
        <v>35000</v>
      </c>
    </row>
    <row r="22" spans="2:5" x14ac:dyDescent="0.3">
      <c r="B22" s="42" t="s">
        <v>24</v>
      </c>
      <c r="C22" s="43" t="s">
        <v>31</v>
      </c>
      <c r="D22" s="44">
        <v>85</v>
      </c>
      <c r="E22" s="45">
        <v>15000</v>
      </c>
    </row>
  </sheetData>
  <phoneticPr fontId="2" type="noConversion"/>
  <conditionalFormatting sqref="B3:H10">
    <cfRule type="expression" dxfId="0" priority="1">
      <formula>$F1048572:$F3&gt;=50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EBA0-44C1-4858-8C3A-97D5A3B60BE7}">
  <dimension ref="B2:H8"/>
  <sheetViews>
    <sheetView workbookViewId="0">
      <selection activeCell="B5" sqref="B5"/>
    </sheetView>
  </sheetViews>
  <sheetFormatPr defaultRowHeight="16.5" x14ac:dyDescent="0.3"/>
  <cols>
    <col min="1" max="1" width="1.625" customWidth="1"/>
    <col min="2" max="2" width="12.5" bestFit="1" customWidth="1"/>
    <col min="3" max="3" width="11.875" bestFit="1" customWidth="1"/>
    <col min="4" max="4" width="18.75" bestFit="1" customWidth="1"/>
    <col min="5" max="5" width="11.125" bestFit="1" customWidth="1"/>
    <col min="6" max="6" width="18.75" bestFit="1" customWidth="1"/>
    <col min="7" max="7" width="11.125" bestFit="1" customWidth="1"/>
    <col min="8" max="8" width="18.75" bestFit="1" customWidth="1"/>
    <col min="9" max="9" width="4" bestFit="1" customWidth="1"/>
    <col min="10" max="10" width="9.875" bestFit="1" customWidth="1"/>
    <col min="11" max="11" width="7.625" bestFit="1" customWidth="1"/>
    <col min="12" max="12" width="4" bestFit="1" customWidth="1"/>
    <col min="13" max="13" width="9.875" bestFit="1" customWidth="1"/>
    <col min="14" max="14" width="20.75" bestFit="1" customWidth="1"/>
    <col min="15" max="15" width="11.125" bestFit="1" customWidth="1"/>
    <col min="16" max="16" width="20.75" bestFit="1" customWidth="1"/>
    <col min="17" max="17" width="15.875" bestFit="1" customWidth="1"/>
    <col min="18" max="18" width="25.625" bestFit="1" customWidth="1"/>
    <col min="19" max="19" width="11.125" bestFit="1" customWidth="1"/>
    <col min="20" max="20" width="20.75" bestFit="1" customWidth="1"/>
    <col min="21" max="21" width="11.125" bestFit="1" customWidth="1"/>
    <col min="22" max="22" width="20.75" bestFit="1" customWidth="1"/>
    <col min="23" max="23" width="15.875" bestFit="1" customWidth="1"/>
    <col min="24" max="24" width="25.625" bestFit="1" customWidth="1"/>
  </cols>
  <sheetData>
    <row r="2" spans="2:8" x14ac:dyDescent="0.3">
      <c r="C2" s="46" t="s">
        <v>38</v>
      </c>
    </row>
    <row r="3" spans="2:8" x14ac:dyDescent="0.3">
      <c r="C3" t="s">
        <v>28</v>
      </c>
      <c r="E3" t="s">
        <v>26</v>
      </c>
      <c r="G3" t="s">
        <v>30</v>
      </c>
    </row>
    <row r="4" spans="2:8" x14ac:dyDescent="0.3">
      <c r="B4" s="46" t="s">
        <v>36</v>
      </c>
      <c r="C4" t="s">
        <v>43</v>
      </c>
      <c r="D4" t="s">
        <v>39</v>
      </c>
      <c r="E4" t="s">
        <v>43</v>
      </c>
      <c r="F4" t="s">
        <v>39</v>
      </c>
      <c r="G4" t="s">
        <v>43</v>
      </c>
      <c r="H4" t="s">
        <v>39</v>
      </c>
    </row>
    <row r="5" spans="2:8" x14ac:dyDescent="0.3">
      <c r="B5" s="48" t="s">
        <v>40</v>
      </c>
      <c r="C5" s="47">
        <v>1</v>
      </c>
      <c r="D5" s="47">
        <v>16</v>
      </c>
      <c r="E5" s="47">
        <v>1</v>
      </c>
      <c r="F5" s="47">
        <v>27</v>
      </c>
      <c r="G5" s="47">
        <v>1</v>
      </c>
      <c r="H5" s="47">
        <v>85</v>
      </c>
    </row>
    <row r="6" spans="2:8" x14ac:dyDescent="0.3">
      <c r="B6" s="48" t="s">
        <v>41</v>
      </c>
      <c r="C6" s="47">
        <v>2</v>
      </c>
      <c r="D6" s="47">
        <v>40</v>
      </c>
      <c r="E6" s="47">
        <v>1</v>
      </c>
      <c r="F6" s="47">
        <v>65</v>
      </c>
      <c r="G6" s="47">
        <v>1</v>
      </c>
      <c r="H6" s="47">
        <v>24</v>
      </c>
    </row>
    <row r="7" spans="2:8" x14ac:dyDescent="0.3">
      <c r="B7" s="48" t="s">
        <v>42</v>
      </c>
      <c r="C7" s="47"/>
      <c r="D7" s="47"/>
      <c r="E7" s="47">
        <v>1</v>
      </c>
      <c r="F7" s="47">
        <v>58</v>
      </c>
      <c r="G7" s="47"/>
      <c r="H7" s="47"/>
    </row>
    <row r="8" spans="2:8" x14ac:dyDescent="0.3">
      <c r="B8" s="48" t="s">
        <v>37</v>
      </c>
      <c r="C8" s="47">
        <v>3</v>
      </c>
      <c r="D8" s="47">
        <v>32</v>
      </c>
      <c r="E8" s="47">
        <v>3</v>
      </c>
      <c r="F8" s="47">
        <v>50</v>
      </c>
      <c r="G8" s="47">
        <v>2</v>
      </c>
      <c r="H8" s="47">
        <v>54.5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2026-05-12T05:19:19Z</dcterms:created>
  <dcterms:modified xsi:type="dcterms:W3CDTF">2026-05-12T06:39:40Z</dcterms:modified>
</cp:coreProperties>
</file>