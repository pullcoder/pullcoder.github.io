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여주대\화_오후_컴퓨터활용능력\Excel수업&amp;정리\"/>
    </mc:Choice>
  </mc:AlternateContent>
  <xr:revisionPtr revIDLastSave="0" documentId="13_ncr:1_{690C90F6-0552-41EF-BFD6-FF77539A0215}" xr6:coauthVersionLast="47" xr6:coauthVersionMax="47" xr10:uidLastSave="{00000000-0000-0000-0000-000000000000}"/>
  <bookViews>
    <workbookView xWindow="-120" yWindow="-120" windowWidth="29040" windowHeight="15720" xr2:uid="{8173DAB1-27B6-49D2-B607-8230ACD0EB3C}"/>
  </bookViews>
  <sheets>
    <sheet name="제1작업" sheetId="1" r:id="rId1"/>
    <sheet name="제2작업" sheetId="2" r:id="rId2"/>
    <sheet name="제3작업" sheetId="3" r:id="rId3"/>
    <sheet name="제4작업" sheetId="5" r:id="rId4"/>
  </sheets>
  <definedNames>
    <definedName name="_xlnm._FilterDatabase" localSheetId="1" hidden="1">제2작업!$B$2:$H$10</definedName>
    <definedName name="_xlnm.Criteria" localSheetId="1">제2작업!$B$14:$C$15</definedName>
    <definedName name="_xlnm.Extract" localSheetId="1">제2작업!$B$18:$E$18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9" i="3"/>
  <c r="G5" i="3"/>
  <c r="G17" i="3" s="1"/>
  <c r="C16" i="3"/>
  <c r="C10" i="3"/>
  <c r="C6" i="3"/>
  <c r="C18" i="3" s="1"/>
  <c r="H11" i="2"/>
  <c r="J14" i="1"/>
  <c r="J13" i="1"/>
  <c r="E14" i="1"/>
  <c r="E13" i="1"/>
  <c r="J6" i="1"/>
  <c r="J7" i="1"/>
  <c r="J8" i="1"/>
  <c r="J9" i="1"/>
  <c r="J10" i="1"/>
  <c r="J11" i="1"/>
  <c r="J12" i="1"/>
  <c r="J5" i="1"/>
  <c r="I7" i="1"/>
  <c r="I8" i="1"/>
  <c r="I9" i="1"/>
  <c r="I10" i="1"/>
  <c r="I11" i="1"/>
  <c r="I12" i="1"/>
  <c r="I5" i="1"/>
  <c r="I6" i="1"/>
</calcChain>
</file>

<file path=xl/sharedStrings.xml><?xml version="1.0" encoding="utf-8"?>
<sst xmlns="http://schemas.openxmlformats.org/spreadsheetml/2006/main" count="124" uniqueCount="43">
  <si>
    <t>상품코드</t>
    <phoneticPr fontId="1" type="noConversion"/>
  </si>
  <si>
    <t>상품명</t>
    <phoneticPr fontId="1" type="noConversion"/>
  </si>
  <si>
    <t>방송일</t>
    <phoneticPr fontId="1" type="noConversion"/>
  </si>
  <si>
    <t>분류</t>
    <phoneticPr fontId="1" type="noConversion"/>
  </si>
  <si>
    <t>판매가격</t>
    <phoneticPr fontId="1" type="noConversion"/>
  </si>
  <si>
    <t>판매수량
(단위:대)</t>
    <phoneticPr fontId="1" type="noConversion"/>
  </si>
  <si>
    <t>상품평(건)</t>
    <phoneticPr fontId="1" type="noConversion"/>
  </si>
  <si>
    <t>방송요일</t>
    <phoneticPr fontId="1" type="noConversion"/>
  </si>
  <si>
    <t>순위</t>
    <phoneticPr fontId="1" type="noConversion"/>
  </si>
  <si>
    <t>R12-3</t>
  </si>
  <si>
    <t>R12-3</t>
    <phoneticPr fontId="1" type="noConversion"/>
  </si>
  <si>
    <t>리버 4도어 냉장고</t>
    <phoneticPr fontId="1" type="noConversion"/>
  </si>
  <si>
    <t>냉장고</t>
    <phoneticPr fontId="1" type="noConversion"/>
  </si>
  <si>
    <t>R12-8</t>
    <phoneticPr fontId="1" type="noConversion"/>
  </si>
  <si>
    <t>C31-9</t>
    <phoneticPr fontId="1" type="noConversion"/>
  </si>
  <si>
    <t>C31-5</t>
    <phoneticPr fontId="1" type="noConversion"/>
  </si>
  <si>
    <t>R12-2</t>
    <phoneticPr fontId="1" type="noConversion"/>
  </si>
  <si>
    <t>R12-5</t>
    <phoneticPr fontId="1" type="noConversion"/>
  </si>
  <si>
    <t>W21-3</t>
    <phoneticPr fontId="1" type="noConversion"/>
  </si>
  <si>
    <t>W21-7</t>
    <phoneticPr fontId="1" type="noConversion"/>
  </si>
  <si>
    <t>AI 4도어 냉장고</t>
    <phoneticPr fontId="1" type="noConversion"/>
  </si>
  <si>
    <t>랜드 실서 안마의자</t>
    <phoneticPr fontId="1" type="noConversion"/>
  </si>
  <si>
    <t>스카이 골드 안마의자</t>
    <phoneticPr fontId="1" type="noConversion"/>
  </si>
  <si>
    <t>마운틴 4도어 냉장고</t>
    <phoneticPr fontId="1" type="noConversion"/>
  </si>
  <si>
    <t>월드 5도어 냉장고</t>
    <phoneticPr fontId="1" type="noConversion"/>
  </si>
  <si>
    <t>글로리 드럼 세탁기</t>
    <phoneticPr fontId="1" type="noConversion"/>
  </si>
  <si>
    <t>모닝 드럼 세탁기</t>
    <phoneticPr fontId="1" type="noConversion"/>
  </si>
  <si>
    <t>안마의자</t>
    <phoneticPr fontId="1" type="noConversion"/>
  </si>
  <si>
    <t>세탁기</t>
    <phoneticPr fontId="1" type="noConversion"/>
  </si>
  <si>
    <t>냉장고 판매수량(단위:대) 평균</t>
    <phoneticPr fontId="1" type="noConversion"/>
  </si>
  <si>
    <t>세탁기 판매수량(단위:대) 합계</t>
    <phoneticPr fontId="1" type="noConversion"/>
  </si>
  <si>
    <t>최다 상품평(건)</t>
    <phoneticPr fontId="1" type="noConversion"/>
  </si>
  <si>
    <t>냉장고 상품평(건)의 평균</t>
    <phoneticPr fontId="1" type="noConversion"/>
  </si>
  <si>
    <t>&gt;=1000</t>
    <phoneticPr fontId="1" type="noConversion"/>
  </si>
  <si>
    <t>&lt;&gt;냉장고</t>
    <phoneticPr fontId="1" type="noConversion"/>
  </si>
  <si>
    <t>안마의자 개수</t>
  </si>
  <si>
    <t>세탁기 개수</t>
  </si>
  <si>
    <t>냉장고 개수</t>
  </si>
  <si>
    <t>전체 개수</t>
  </si>
  <si>
    <t>안마의자 평균</t>
  </si>
  <si>
    <t>세탁기 평균</t>
  </si>
  <si>
    <t>냉장고 평균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</si>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</sst>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대&quot;"/>
    <numFmt numFmtId="177" formatCode="#,##0&quot;건&quot;"/>
    <numFmt numFmtId="178" formatCode="#,##0&quot;천원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3" fontId="2" fillId="0" borderId="2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3" fontId="2" fillId="0" borderId="6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176" fontId="2" fillId="0" borderId="12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8" fontId="2" fillId="0" borderId="2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178" fontId="2" fillId="0" borderId="6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3"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/>
              <a:t>냉장고 및 세탁기 판매 현황</a:t>
            </a:r>
            <a:endParaRPr lang="ko-KR" sz="2000"/>
          </a:p>
        </c:rich>
      </c:tx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제1작업!$F$4</c:f>
              <c:strCache>
                <c:ptCount val="1"/>
                <c:pt idx="0">
                  <c:v>판매가격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12-46DC-9C37-38E449A67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제1작업!$B$5:$B$12</c15:sqref>
                  </c15:fullRef>
                </c:ext>
              </c:extLst>
              <c:f>(제1작업!$B$5:$B$6,제1작업!$B$9:$B$12)</c:f>
              <c:strCache>
                <c:ptCount val="6"/>
                <c:pt idx="0">
                  <c:v>R12-3</c:v>
                </c:pt>
                <c:pt idx="1">
                  <c:v>R12-8</c:v>
                </c:pt>
                <c:pt idx="2">
                  <c:v>R12-2</c:v>
                </c:pt>
                <c:pt idx="3">
                  <c:v>R12-5</c:v>
                </c:pt>
                <c:pt idx="4">
                  <c:v>W21-3</c:v>
                </c:pt>
                <c:pt idx="5">
                  <c:v>W21-7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제1작업!$F$5:$F$12</c15:sqref>
                  </c15:fullRef>
                </c:ext>
              </c:extLst>
              <c:f>(제1작업!$F$5:$F$6,제1작업!$F$9:$F$12)</c:f>
              <c:numCache>
                <c:formatCode>#,##0"천원"</c:formatCode>
                <c:ptCount val="6"/>
                <c:pt idx="0">
                  <c:v>3000</c:v>
                </c:pt>
                <c:pt idx="1">
                  <c:v>2500</c:v>
                </c:pt>
                <c:pt idx="2">
                  <c:v>3525</c:v>
                </c:pt>
                <c:pt idx="3">
                  <c:v>4425</c:v>
                </c:pt>
                <c:pt idx="4">
                  <c:v>1298</c:v>
                </c:pt>
                <c:pt idx="5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2-46DC-9C37-38E449A67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94596928"/>
        <c:axId val="1094612288"/>
      </c:barChart>
      <c:lineChart>
        <c:grouping val="standard"/>
        <c:varyColors val="0"/>
        <c:ser>
          <c:idx val="1"/>
          <c:order val="1"/>
          <c:tx>
            <c:v>판매수량(단위:대)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제1작업!$B$5:$B$12</c15:sqref>
                  </c15:fullRef>
                </c:ext>
              </c:extLst>
              <c:f>(제1작업!$B$5:$B$6,제1작업!$B$9:$B$12)</c:f>
              <c:strCache>
                <c:ptCount val="6"/>
                <c:pt idx="0">
                  <c:v>R12-3</c:v>
                </c:pt>
                <c:pt idx="1">
                  <c:v>R12-8</c:v>
                </c:pt>
                <c:pt idx="2">
                  <c:v>R12-2</c:v>
                </c:pt>
                <c:pt idx="3">
                  <c:v>R12-5</c:v>
                </c:pt>
                <c:pt idx="4">
                  <c:v>W21-3</c:v>
                </c:pt>
                <c:pt idx="5">
                  <c:v>W21-7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제1작업!$G$5:$G$12</c15:sqref>
                  </c15:fullRef>
                </c:ext>
              </c:extLst>
              <c:f>(제1작업!$G$5:$G$6,제1작업!$G$9:$G$12)</c:f>
              <c:numCache>
                <c:formatCode>#,##0</c:formatCode>
                <c:ptCount val="6"/>
                <c:pt idx="0">
                  <c:v>2123</c:v>
                </c:pt>
                <c:pt idx="1">
                  <c:v>1788</c:v>
                </c:pt>
                <c:pt idx="2">
                  <c:v>1833</c:v>
                </c:pt>
                <c:pt idx="3">
                  <c:v>780</c:v>
                </c:pt>
                <c:pt idx="4">
                  <c:v>3578</c:v>
                </c:pt>
                <c:pt idx="5">
                  <c:v>3012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2-46DC-9C37-38E449A67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890416"/>
        <c:axId val="789886576"/>
      </c:lineChart>
      <c:catAx>
        <c:axId val="10945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094612288"/>
        <c:crosses val="autoZero"/>
        <c:auto val="1"/>
        <c:lblAlgn val="ctr"/>
        <c:lblOffset val="100"/>
        <c:noMultiLvlLbl val="0"/>
      </c:catAx>
      <c:valAx>
        <c:axId val="10946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&quot;천원&quot;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094596928"/>
        <c:crosses val="autoZero"/>
        <c:crossBetween val="between"/>
      </c:valAx>
      <c:valAx>
        <c:axId val="789886576"/>
        <c:scaling>
          <c:orientation val="minMax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789890416"/>
        <c:crosses val="max"/>
        <c:crossBetween val="between"/>
        <c:majorUnit val="1000"/>
      </c:valAx>
      <c:catAx>
        <c:axId val="78989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9886576"/>
        <c:crosses val="autoZero"/>
        <c:auto val="1"/>
        <c:lblAlgn val="ctr"/>
        <c:lblOffset val="100"/>
        <c:noMultiLvlLbl val="0"/>
      </c:cat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굴림" panose="020B0600000101010101" pitchFamily="50" charset="-127"/>
          <a:ea typeface="굴림" panose="020B0600000101010101" pitchFamily="50" charset="-127"/>
        </a:defRPr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D580FF-EF0E-4319-9DD7-2A56C211696A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707657</xdr:colOff>
      <xdr:row>0</xdr:row>
      <xdr:rowOff>152400</xdr:rowOff>
    </xdr:from>
    <xdr:to>
      <xdr:col>10</xdr:col>
      <xdr:colOff>347</xdr:colOff>
      <xdr:row>2</xdr:row>
      <xdr:rowOff>276351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883E1F-8ED1-4B00-BF23-8A64B428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6332" y="152400"/>
          <a:ext cx="2902665" cy="752601"/>
        </a:xfrm>
        <a:prstGeom prst="rect">
          <a:avLst/>
        </a:prstGeom>
      </xdr:spPr>
    </xdr:pic>
    <xdr:clientData/>
  </xdr:twoCellAnchor>
  <xdr:twoCellAnchor>
    <xdr:from>
      <xdr:col>1</xdr:col>
      <xdr:colOff>9526</xdr:colOff>
      <xdr:row>0</xdr:row>
      <xdr:rowOff>180975</xdr:rowOff>
    </xdr:from>
    <xdr:to>
      <xdr:col>5</xdr:col>
      <xdr:colOff>552450</xdr:colOff>
      <xdr:row>2</xdr:row>
      <xdr:rowOff>247650</xdr:rowOff>
    </xdr:to>
    <xdr:sp macro="" textlink="">
      <xdr:nvSpPr>
        <xdr:cNvPr id="3" name="배지 2">
          <a:extLst>
            <a:ext uri="{FF2B5EF4-FFF2-40B4-BE49-F238E27FC236}">
              <a16:creationId xmlns:a16="http://schemas.microsoft.com/office/drawing/2014/main" id="{F7CABAC4-DE2C-6F71-D2F8-5BACB44A7688}"/>
            </a:ext>
          </a:extLst>
        </xdr:cNvPr>
        <xdr:cNvSpPr/>
      </xdr:nvSpPr>
      <xdr:spPr>
        <a:xfrm>
          <a:off x="695326" y="180975"/>
          <a:ext cx="4495799" cy="695325"/>
        </a:xfrm>
        <a:prstGeom prst="plaque">
          <a:avLst/>
        </a:prstGeom>
        <a:solidFill>
          <a:srgbClr val="FFFF0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5</a:t>
          </a:r>
          <a:r>
            <a:rPr lang="ko-KR" altLang="en-US" sz="24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월 생활가전 판매 현황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908856-7CF7-05AE-C1BD-3A8E8D5D0C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0.39633</cdr:x>
      <cdr:y>0.13655</cdr:y>
    </cdr:from>
    <cdr:to>
      <cdr:x>0.51181</cdr:x>
      <cdr:y>0.2008</cdr:y>
    </cdr:to>
    <cdr:sp macro="" textlink="">
      <cdr:nvSpPr>
        <cdr:cNvPr id="2" name="말풍선: 모서리가 둥근 사각형 1">
          <a:extLst xmlns:a="http://schemas.openxmlformats.org/drawingml/2006/main">
            <a:ext uri="{FF2B5EF4-FFF2-40B4-BE49-F238E27FC236}">
              <a16:creationId xmlns:a16="http://schemas.microsoft.com/office/drawing/2014/main" id="{63FB2877-BBA7-669B-B845-098B7995D144}"/>
            </a:ext>
          </a:extLst>
        </cdr:cNvPr>
        <cdr:cNvSpPr/>
      </cdr:nvSpPr>
      <cdr:spPr>
        <a:xfrm xmlns:a="http://schemas.openxmlformats.org/drawingml/2006/main">
          <a:off x="3687886" y="830387"/>
          <a:ext cx="1074615" cy="390768"/>
        </a:xfrm>
        <a:prstGeom xmlns:a="http://schemas.openxmlformats.org/drawingml/2006/main" prst="wedgeRoundRectCallout">
          <a:avLst>
            <a:gd name="adj1" fmla="val 67402"/>
            <a:gd name="adj2" fmla="val -6662"/>
            <a:gd name="adj3" fmla="val 16667"/>
          </a:avLst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 kern="1200"/>
            <a:t>최대 가격</a:t>
          </a: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23DF-0175-4C69-A649-84835D744BC7}">
  <dimension ref="B1:J18"/>
  <sheetViews>
    <sheetView tabSelected="1" workbookViewId="0">
      <selection activeCell="J16" sqref="J16"/>
    </sheetView>
  </sheetViews>
  <sheetFormatPr defaultRowHeight="13.5" x14ac:dyDescent="0.3"/>
  <cols>
    <col min="1" max="1" width="1.625" style="2" customWidth="1"/>
    <col min="2" max="2" width="9" style="2"/>
    <col min="3" max="3" width="20.625" style="2" bestFit="1" customWidth="1"/>
    <col min="4" max="4" width="13.25" style="2" bestFit="1" customWidth="1"/>
    <col min="5" max="5" width="9" style="2"/>
    <col min="6" max="6" width="11.125" style="2" bestFit="1" customWidth="1"/>
    <col min="7" max="8" width="9.125" style="2" bestFit="1" customWidth="1"/>
    <col min="9" max="16384" width="9" style="2"/>
  </cols>
  <sheetData>
    <row r="1" spans="2:10" ht="24.95" customHeight="1" x14ac:dyDescent="0.3"/>
    <row r="2" spans="2:10" ht="24.95" customHeight="1" x14ac:dyDescent="0.3"/>
    <row r="3" spans="2:10" ht="24.95" customHeight="1" thickBot="1" x14ac:dyDescent="0.35"/>
    <row r="4" spans="2:10" ht="27.75" thickBot="1" x14ac:dyDescent="0.35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4" t="s">
        <v>6</v>
      </c>
      <c r="I4" s="4" t="s">
        <v>7</v>
      </c>
      <c r="J4" s="6" t="s">
        <v>8</v>
      </c>
    </row>
    <row r="5" spans="2:10" x14ac:dyDescent="0.3">
      <c r="B5" s="7" t="s">
        <v>10</v>
      </c>
      <c r="C5" s="8" t="s">
        <v>11</v>
      </c>
      <c r="D5" s="9">
        <v>45786</v>
      </c>
      <c r="E5" s="8" t="s">
        <v>12</v>
      </c>
      <c r="F5" s="29">
        <v>3000</v>
      </c>
      <c r="G5" s="20">
        <v>2123</v>
      </c>
      <c r="H5" s="20">
        <v>878</v>
      </c>
      <c r="I5" s="12" t="str">
        <f>CHOOSE(WEEKDAY(D5, 1), "일", "월", "화", "수", "목", "금", "토")</f>
        <v>금</v>
      </c>
      <c r="J5" s="10">
        <f>_xlfn.RANK.EQ(G5,$G$5:$G$12)</f>
        <v>4</v>
      </c>
    </row>
    <row r="6" spans="2:10" x14ac:dyDescent="0.3">
      <c r="B6" s="11" t="s">
        <v>13</v>
      </c>
      <c r="C6" s="12" t="s">
        <v>20</v>
      </c>
      <c r="D6" s="13">
        <v>45779</v>
      </c>
      <c r="E6" s="12" t="s">
        <v>12</v>
      </c>
      <c r="F6" s="30">
        <v>2500</v>
      </c>
      <c r="G6" s="21">
        <v>1788</v>
      </c>
      <c r="H6" s="21">
        <v>895</v>
      </c>
      <c r="I6" s="12" t="str">
        <f>CHOOSE(WEEKDAY(D6, 1), "일", "월", "화", "수", "목", "금", "토")</f>
        <v>금</v>
      </c>
      <c r="J6" s="10">
        <f t="shared" ref="J6:J12" si="0">_xlfn.RANK.EQ(G6,$G$5:$G$12)</f>
        <v>6</v>
      </c>
    </row>
    <row r="7" spans="2:10" x14ac:dyDescent="0.3">
      <c r="B7" s="11" t="s">
        <v>14</v>
      </c>
      <c r="C7" s="12" t="s">
        <v>21</v>
      </c>
      <c r="D7" s="13">
        <v>45784</v>
      </c>
      <c r="E7" s="12" t="s">
        <v>27</v>
      </c>
      <c r="F7" s="30">
        <v>2985</v>
      </c>
      <c r="G7" s="21">
        <v>2245</v>
      </c>
      <c r="H7" s="21">
        <v>785</v>
      </c>
      <c r="I7" s="12" t="str">
        <f t="shared" ref="I7:I12" si="1">CHOOSE(WEEKDAY(D7, 1), "일", "월", "화", "수", "목", "금", "토")</f>
        <v>수</v>
      </c>
      <c r="J7" s="10">
        <f t="shared" si="0"/>
        <v>3</v>
      </c>
    </row>
    <row r="8" spans="2:10" x14ac:dyDescent="0.3">
      <c r="B8" s="11" t="s">
        <v>15</v>
      </c>
      <c r="C8" s="12" t="s">
        <v>22</v>
      </c>
      <c r="D8" s="13">
        <v>45785</v>
      </c>
      <c r="E8" s="12" t="s">
        <v>27</v>
      </c>
      <c r="F8" s="30">
        <v>4580</v>
      </c>
      <c r="G8" s="21">
        <v>817</v>
      </c>
      <c r="H8" s="21">
        <v>34</v>
      </c>
      <c r="I8" s="12" t="str">
        <f t="shared" si="1"/>
        <v>목</v>
      </c>
      <c r="J8" s="10">
        <f t="shared" si="0"/>
        <v>7</v>
      </c>
    </row>
    <row r="9" spans="2:10" x14ac:dyDescent="0.3">
      <c r="B9" s="11" t="s">
        <v>16</v>
      </c>
      <c r="C9" s="12" t="s">
        <v>23</v>
      </c>
      <c r="D9" s="13">
        <v>45778</v>
      </c>
      <c r="E9" s="12" t="s">
        <v>12</v>
      </c>
      <c r="F9" s="30">
        <v>3525</v>
      </c>
      <c r="G9" s="21">
        <v>1833</v>
      </c>
      <c r="H9" s="21">
        <v>356</v>
      </c>
      <c r="I9" s="12" t="str">
        <f t="shared" si="1"/>
        <v>목</v>
      </c>
      <c r="J9" s="10">
        <f t="shared" si="0"/>
        <v>5</v>
      </c>
    </row>
    <row r="10" spans="2:10" x14ac:dyDescent="0.3">
      <c r="B10" s="11" t="s">
        <v>17</v>
      </c>
      <c r="C10" s="12" t="s">
        <v>24</v>
      </c>
      <c r="D10" s="13">
        <v>45780</v>
      </c>
      <c r="E10" s="12" t="s">
        <v>12</v>
      </c>
      <c r="F10" s="30">
        <v>4425</v>
      </c>
      <c r="G10" s="21">
        <v>780</v>
      </c>
      <c r="H10" s="21">
        <v>67</v>
      </c>
      <c r="I10" s="12" t="str">
        <f t="shared" si="1"/>
        <v>토</v>
      </c>
      <c r="J10" s="10">
        <f t="shared" si="0"/>
        <v>8</v>
      </c>
    </row>
    <row r="11" spans="2:10" x14ac:dyDescent="0.3">
      <c r="B11" s="11" t="s">
        <v>18</v>
      </c>
      <c r="C11" s="12" t="s">
        <v>25</v>
      </c>
      <c r="D11" s="13">
        <v>45780</v>
      </c>
      <c r="E11" s="12" t="s">
        <v>28</v>
      </c>
      <c r="F11" s="30">
        <v>1298</v>
      </c>
      <c r="G11" s="21">
        <v>3578</v>
      </c>
      <c r="H11" s="21">
        <v>1657</v>
      </c>
      <c r="I11" s="12" t="str">
        <f t="shared" si="1"/>
        <v>토</v>
      </c>
      <c r="J11" s="10">
        <f t="shared" si="0"/>
        <v>1</v>
      </c>
    </row>
    <row r="12" spans="2:10" ht="14.25" thickBot="1" x14ac:dyDescent="0.35">
      <c r="B12" s="14" t="s">
        <v>19</v>
      </c>
      <c r="C12" s="15" t="s">
        <v>26</v>
      </c>
      <c r="D12" s="16">
        <v>45778</v>
      </c>
      <c r="E12" s="15" t="s">
        <v>28</v>
      </c>
      <c r="F12" s="31">
        <v>1598</v>
      </c>
      <c r="G12" s="22">
        <v>3012</v>
      </c>
      <c r="H12" s="22">
        <v>1125</v>
      </c>
      <c r="I12" s="12" t="str">
        <f t="shared" si="1"/>
        <v>목</v>
      </c>
      <c r="J12" s="10">
        <f t="shared" si="0"/>
        <v>2</v>
      </c>
    </row>
    <row r="13" spans="2:10" ht="23.25" customHeight="1" x14ac:dyDescent="0.3">
      <c r="B13" s="37" t="s">
        <v>29</v>
      </c>
      <c r="C13" s="38"/>
      <c r="D13" s="38"/>
      <c r="E13" s="23">
        <f>DSUM(B4:H12, 6, E4:E5) / COUNTIF(E5:E12, "냉장고")</f>
        <v>1631</v>
      </c>
      <c r="F13" s="41"/>
      <c r="G13" s="38" t="s">
        <v>31</v>
      </c>
      <c r="H13" s="38"/>
      <c r="I13" s="38"/>
      <c r="J13" s="26">
        <f>MAX(H5:H12)</f>
        <v>1657</v>
      </c>
    </row>
    <row r="14" spans="2:10" ht="27.75" thickBot="1" x14ac:dyDescent="0.35">
      <c r="B14" s="39" t="s">
        <v>30</v>
      </c>
      <c r="C14" s="40"/>
      <c r="D14" s="40"/>
      <c r="E14" s="24">
        <f ca="1">SUMIF(E5:G12,"세탁기",G5:G12)</f>
        <v>6590</v>
      </c>
      <c r="F14" s="42"/>
      <c r="G14" s="18" t="s">
        <v>0</v>
      </c>
      <c r="H14" s="17" t="s">
        <v>9</v>
      </c>
      <c r="I14" s="19" t="s">
        <v>5</v>
      </c>
      <c r="J14" s="25">
        <f>VLOOKUP(H14,B4:J12,6,TRUE)</f>
        <v>1833</v>
      </c>
    </row>
    <row r="18" spans="5:5" ht="16.5" x14ac:dyDescent="0.3">
      <c r="E18"/>
    </row>
  </sheetData>
  <mergeCells count="4">
    <mergeCell ref="B13:D13"/>
    <mergeCell ref="B14:D14"/>
    <mergeCell ref="F13:F14"/>
    <mergeCell ref="G13:I13"/>
  </mergeCells>
  <phoneticPr fontId="1" type="noConversion"/>
  <conditionalFormatting sqref="B5:J12">
    <cfRule type="expression" dxfId="2" priority="1">
      <formula>$G5&gt;=2000</formula>
    </cfRule>
  </conditionalFormatting>
  <dataValidations disablePrompts="1" count="1">
    <dataValidation type="list" allowBlank="1" showInputMessage="1" showErrorMessage="1" sqref="H14" xr:uid="{0665E602-9311-4E9E-B749-EEE9E8DEF1CD}">
      <formula1>B5:B12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DD8D-CD70-4E22-B9C4-09C1240080D9}">
  <dimension ref="B1:H21"/>
  <sheetViews>
    <sheetView workbookViewId="0">
      <selection sqref="A1:A1048576"/>
    </sheetView>
  </sheetViews>
  <sheetFormatPr defaultRowHeight="16.5" x14ac:dyDescent="0.3"/>
  <cols>
    <col min="1" max="1" width="1.625" customWidth="1"/>
    <col min="3" max="3" width="20.625" bestFit="1" customWidth="1"/>
    <col min="4" max="4" width="13.25" bestFit="1" customWidth="1"/>
    <col min="6" max="6" width="11.125" bestFit="1" customWidth="1"/>
  </cols>
  <sheetData>
    <row r="1" spans="2:8" ht="17.25" thickBot="1" x14ac:dyDescent="0.35"/>
    <row r="2" spans="2:8" ht="27.75" thickBot="1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</row>
    <row r="3" spans="2:8" x14ac:dyDescent="0.3">
      <c r="B3" s="7" t="s">
        <v>10</v>
      </c>
      <c r="C3" s="8" t="s">
        <v>11</v>
      </c>
      <c r="D3" s="9">
        <v>45786</v>
      </c>
      <c r="E3" s="8" t="s">
        <v>12</v>
      </c>
      <c r="F3" s="29">
        <v>3000</v>
      </c>
      <c r="G3" s="20">
        <v>2123</v>
      </c>
      <c r="H3" s="20">
        <v>922.00000000000114</v>
      </c>
    </row>
    <row r="4" spans="2:8" x14ac:dyDescent="0.3">
      <c r="B4" s="11" t="s">
        <v>13</v>
      </c>
      <c r="C4" s="12" t="s">
        <v>20</v>
      </c>
      <c r="D4" s="13">
        <v>45779</v>
      </c>
      <c r="E4" s="12" t="s">
        <v>12</v>
      </c>
      <c r="F4" s="30">
        <v>2500</v>
      </c>
      <c r="G4" s="21">
        <v>1788</v>
      </c>
      <c r="H4" s="21">
        <v>895</v>
      </c>
    </row>
    <row r="5" spans="2:8" x14ac:dyDescent="0.3">
      <c r="B5" s="11" t="s">
        <v>14</v>
      </c>
      <c r="C5" s="12" t="s">
        <v>21</v>
      </c>
      <c r="D5" s="13">
        <v>45784</v>
      </c>
      <c r="E5" s="12" t="s">
        <v>27</v>
      </c>
      <c r="F5" s="30">
        <v>2985</v>
      </c>
      <c r="G5" s="21">
        <v>2245</v>
      </c>
      <c r="H5" s="21">
        <v>785</v>
      </c>
    </row>
    <row r="6" spans="2:8" x14ac:dyDescent="0.3">
      <c r="B6" s="11" t="s">
        <v>15</v>
      </c>
      <c r="C6" s="12" t="s">
        <v>22</v>
      </c>
      <c r="D6" s="13">
        <v>45785</v>
      </c>
      <c r="E6" s="12" t="s">
        <v>27</v>
      </c>
      <c r="F6" s="30">
        <v>4580</v>
      </c>
      <c r="G6" s="21">
        <v>817</v>
      </c>
      <c r="H6" s="21">
        <v>34</v>
      </c>
    </row>
    <row r="7" spans="2:8" x14ac:dyDescent="0.3">
      <c r="B7" s="11" t="s">
        <v>16</v>
      </c>
      <c r="C7" s="12" t="s">
        <v>23</v>
      </c>
      <c r="D7" s="13">
        <v>45778</v>
      </c>
      <c r="E7" s="12" t="s">
        <v>12</v>
      </c>
      <c r="F7" s="30">
        <v>3525</v>
      </c>
      <c r="G7" s="21">
        <v>1833</v>
      </c>
      <c r="H7" s="21">
        <v>356</v>
      </c>
    </row>
    <row r="8" spans="2:8" x14ac:dyDescent="0.3">
      <c r="B8" s="11" t="s">
        <v>17</v>
      </c>
      <c r="C8" s="12" t="s">
        <v>24</v>
      </c>
      <c r="D8" s="13">
        <v>45780</v>
      </c>
      <c r="E8" s="12" t="s">
        <v>12</v>
      </c>
      <c r="F8" s="30">
        <v>4425</v>
      </c>
      <c r="G8" s="21">
        <v>780</v>
      </c>
      <c r="H8" s="21">
        <v>67</v>
      </c>
    </row>
    <row r="9" spans="2:8" x14ac:dyDescent="0.3">
      <c r="B9" s="11" t="s">
        <v>18</v>
      </c>
      <c r="C9" s="12" t="s">
        <v>25</v>
      </c>
      <c r="D9" s="13">
        <v>45780</v>
      </c>
      <c r="E9" s="12" t="s">
        <v>28</v>
      </c>
      <c r="F9" s="30">
        <v>1298</v>
      </c>
      <c r="G9" s="21">
        <v>3578</v>
      </c>
      <c r="H9" s="21">
        <v>1657</v>
      </c>
    </row>
    <row r="10" spans="2:8" x14ac:dyDescent="0.3">
      <c r="B10" s="14" t="s">
        <v>19</v>
      </c>
      <c r="C10" s="15" t="s">
        <v>26</v>
      </c>
      <c r="D10" s="16">
        <v>45778</v>
      </c>
      <c r="E10" s="15" t="s">
        <v>28</v>
      </c>
      <c r="F10" s="31">
        <v>1598</v>
      </c>
      <c r="G10" s="22">
        <v>3012</v>
      </c>
      <c r="H10" s="22">
        <v>1125</v>
      </c>
    </row>
    <row r="11" spans="2:8" x14ac:dyDescent="0.3">
      <c r="B11" s="43" t="s">
        <v>32</v>
      </c>
      <c r="C11" s="43"/>
      <c r="D11" s="43"/>
      <c r="E11" s="43"/>
      <c r="F11" s="43"/>
      <c r="G11" s="43"/>
      <c r="H11" s="27">
        <f>DAVERAGE(B2:H10,H2,E2:E3)</f>
        <v>560.00000000000023</v>
      </c>
    </row>
    <row r="12" spans="2:8" x14ac:dyDescent="0.3">
      <c r="B12" s="1"/>
      <c r="C12" s="1"/>
      <c r="D12" s="1"/>
      <c r="E12" s="1"/>
      <c r="F12" s="1"/>
      <c r="G12" s="1"/>
      <c r="H12" s="27"/>
    </row>
    <row r="13" spans="2:8" ht="17.25" thickBot="1" x14ac:dyDescent="0.35"/>
    <row r="14" spans="2:8" ht="27.75" thickBot="1" x14ac:dyDescent="0.35">
      <c r="B14" s="4" t="s">
        <v>3</v>
      </c>
      <c r="C14" s="5" t="s">
        <v>5</v>
      </c>
    </row>
    <row r="15" spans="2:8" x14ac:dyDescent="0.3">
      <c r="B15" s="28" t="s">
        <v>34</v>
      </c>
      <c r="C15" t="s">
        <v>33</v>
      </c>
    </row>
    <row r="17" spans="2:5" ht="17.25" thickBot="1" x14ac:dyDescent="0.35"/>
    <row r="18" spans="2:5" ht="27.75" thickBot="1" x14ac:dyDescent="0.35">
      <c r="B18" s="3" t="s">
        <v>0</v>
      </c>
      <c r="C18" s="4" t="s">
        <v>3</v>
      </c>
      <c r="D18" s="4" t="s">
        <v>4</v>
      </c>
      <c r="E18" s="5" t="s">
        <v>5</v>
      </c>
    </row>
    <row r="19" spans="2:5" x14ac:dyDescent="0.3">
      <c r="B19" s="11" t="s">
        <v>14</v>
      </c>
      <c r="C19" s="12" t="s">
        <v>27</v>
      </c>
      <c r="D19" s="30">
        <v>2985</v>
      </c>
      <c r="E19" s="21">
        <v>2245</v>
      </c>
    </row>
    <row r="20" spans="2:5" x14ac:dyDescent="0.3">
      <c r="B20" s="11" t="s">
        <v>18</v>
      </c>
      <c r="C20" s="12" t="s">
        <v>28</v>
      </c>
      <c r="D20" s="30">
        <v>1298</v>
      </c>
      <c r="E20" s="21">
        <v>3578</v>
      </c>
    </row>
    <row r="21" spans="2:5" x14ac:dyDescent="0.3">
      <c r="B21" s="14" t="s">
        <v>19</v>
      </c>
      <c r="C21" s="15" t="s">
        <v>28</v>
      </c>
      <c r="D21" s="31">
        <v>1598</v>
      </c>
      <c r="E21" s="22">
        <v>3012</v>
      </c>
    </row>
  </sheetData>
  <mergeCells count="1">
    <mergeCell ref="B11:G11"/>
  </mergeCells>
  <phoneticPr fontId="1" type="noConversion"/>
  <conditionalFormatting sqref="B3:H10">
    <cfRule type="expression" dxfId="1" priority="1">
      <formula>$G3&gt;=2000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33EC-F404-4C38-A65C-2AC3FF41C56B}">
  <dimension ref="B1:H18"/>
  <sheetViews>
    <sheetView workbookViewId="0">
      <selection sqref="A1:A1048576"/>
    </sheetView>
  </sheetViews>
  <sheetFormatPr defaultRowHeight="16.5" x14ac:dyDescent="0.3"/>
  <cols>
    <col min="1" max="1" width="1.625" customWidth="1"/>
    <col min="3" max="3" width="20.625" bestFit="1" customWidth="1"/>
    <col min="4" max="4" width="13.25" bestFit="1" customWidth="1"/>
    <col min="6" max="6" width="11.125" bestFit="1" customWidth="1"/>
  </cols>
  <sheetData>
    <row r="1" spans="2:8" ht="17.25" thickBot="1" x14ac:dyDescent="0.35"/>
    <row r="2" spans="2:8" ht="27.75" thickBot="1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</row>
    <row r="3" spans="2:8" x14ac:dyDescent="0.3">
      <c r="B3" s="7" t="s">
        <v>14</v>
      </c>
      <c r="C3" s="8" t="s">
        <v>21</v>
      </c>
      <c r="D3" s="9">
        <v>45784</v>
      </c>
      <c r="E3" s="8" t="s">
        <v>27</v>
      </c>
      <c r="F3" s="29">
        <v>2985</v>
      </c>
      <c r="G3" s="20">
        <v>2245</v>
      </c>
      <c r="H3" s="20">
        <v>785</v>
      </c>
    </row>
    <row r="4" spans="2:8" x14ac:dyDescent="0.3">
      <c r="B4" s="11" t="s">
        <v>15</v>
      </c>
      <c r="C4" s="12" t="s">
        <v>22</v>
      </c>
      <c r="D4" s="13">
        <v>45785</v>
      </c>
      <c r="E4" s="12" t="s">
        <v>27</v>
      </c>
      <c r="F4" s="30">
        <v>4580</v>
      </c>
      <c r="G4" s="21">
        <v>817</v>
      </c>
      <c r="H4" s="21">
        <v>34</v>
      </c>
    </row>
    <row r="5" spans="2:8" x14ac:dyDescent="0.3">
      <c r="B5" s="11"/>
      <c r="C5" s="12"/>
      <c r="D5" s="13"/>
      <c r="E5" s="32" t="s">
        <v>39</v>
      </c>
      <c r="F5" s="30"/>
      <c r="G5" s="21">
        <f>SUBTOTAL(1,G3:G4)</f>
        <v>1531</v>
      </c>
      <c r="H5" s="21"/>
    </row>
    <row r="6" spans="2:8" x14ac:dyDescent="0.3">
      <c r="B6" s="11"/>
      <c r="C6" s="12">
        <f>SUBTOTAL(3,C3:C4)</f>
        <v>2</v>
      </c>
      <c r="D6" s="13"/>
      <c r="E6" s="32" t="s">
        <v>35</v>
      </c>
      <c r="F6" s="30"/>
      <c r="G6" s="21"/>
      <c r="H6" s="21"/>
    </row>
    <row r="7" spans="2:8" x14ac:dyDescent="0.3">
      <c r="B7" s="11" t="s">
        <v>18</v>
      </c>
      <c r="C7" s="12" t="s">
        <v>25</v>
      </c>
      <c r="D7" s="13">
        <v>45780</v>
      </c>
      <c r="E7" s="12" t="s">
        <v>28</v>
      </c>
      <c r="F7" s="30">
        <v>1298</v>
      </c>
      <c r="G7" s="21">
        <v>3578</v>
      </c>
      <c r="H7" s="21">
        <v>1657</v>
      </c>
    </row>
    <row r="8" spans="2:8" x14ac:dyDescent="0.3">
      <c r="B8" s="11" t="s">
        <v>19</v>
      </c>
      <c r="C8" s="12" t="s">
        <v>26</v>
      </c>
      <c r="D8" s="13">
        <v>45778</v>
      </c>
      <c r="E8" s="12" t="s">
        <v>28</v>
      </c>
      <c r="F8" s="30">
        <v>1598</v>
      </c>
      <c r="G8" s="21">
        <v>3012</v>
      </c>
      <c r="H8" s="21">
        <v>1125</v>
      </c>
    </row>
    <row r="9" spans="2:8" x14ac:dyDescent="0.3">
      <c r="B9" s="11"/>
      <c r="C9" s="12"/>
      <c r="D9" s="13"/>
      <c r="E9" s="32" t="s">
        <v>40</v>
      </c>
      <c r="F9" s="30"/>
      <c r="G9" s="21">
        <f>SUBTOTAL(1,G7:G8)</f>
        <v>3295</v>
      </c>
      <c r="H9" s="21"/>
    </row>
    <row r="10" spans="2:8" x14ac:dyDescent="0.3">
      <c r="B10" s="11"/>
      <c r="C10" s="12">
        <f>SUBTOTAL(3,C7:C8)</f>
        <v>2</v>
      </c>
      <c r="D10" s="13"/>
      <c r="E10" s="32" t="s">
        <v>36</v>
      </c>
      <c r="F10" s="30"/>
      <c r="G10" s="21"/>
      <c r="H10" s="21"/>
    </row>
    <row r="11" spans="2:8" x14ac:dyDescent="0.3">
      <c r="B11" s="11" t="s">
        <v>10</v>
      </c>
      <c r="C11" s="12" t="s">
        <v>11</v>
      </c>
      <c r="D11" s="13">
        <v>45786</v>
      </c>
      <c r="E11" s="12" t="s">
        <v>12</v>
      </c>
      <c r="F11" s="30">
        <v>3000</v>
      </c>
      <c r="G11" s="21">
        <v>2123</v>
      </c>
      <c r="H11" s="21">
        <v>878</v>
      </c>
    </row>
    <row r="12" spans="2:8" x14ac:dyDescent="0.3">
      <c r="B12" s="11" t="s">
        <v>13</v>
      </c>
      <c r="C12" s="12" t="s">
        <v>20</v>
      </c>
      <c r="D12" s="13">
        <v>45779</v>
      </c>
      <c r="E12" s="12" t="s">
        <v>12</v>
      </c>
      <c r="F12" s="30">
        <v>2500</v>
      </c>
      <c r="G12" s="21">
        <v>1788</v>
      </c>
      <c r="H12" s="21">
        <v>895</v>
      </c>
    </row>
    <row r="13" spans="2:8" x14ac:dyDescent="0.3">
      <c r="B13" s="11" t="s">
        <v>16</v>
      </c>
      <c r="C13" s="12" t="s">
        <v>23</v>
      </c>
      <c r="D13" s="13">
        <v>45778</v>
      </c>
      <c r="E13" s="12" t="s">
        <v>12</v>
      </c>
      <c r="F13" s="30">
        <v>3525</v>
      </c>
      <c r="G13" s="21">
        <v>1833</v>
      </c>
      <c r="H13" s="21">
        <v>356</v>
      </c>
    </row>
    <row r="14" spans="2:8" x14ac:dyDescent="0.3">
      <c r="B14" s="14" t="s">
        <v>17</v>
      </c>
      <c r="C14" s="15" t="s">
        <v>24</v>
      </c>
      <c r="D14" s="16">
        <v>45780</v>
      </c>
      <c r="E14" s="15" t="s">
        <v>12</v>
      </c>
      <c r="F14" s="31">
        <v>4425</v>
      </c>
      <c r="G14" s="22">
        <v>780</v>
      </c>
      <c r="H14" s="22">
        <v>67</v>
      </c>
    </row>
    <row r="15" spans="2:8" x14ac:dyDescent="0.3">
      <c r="B15" s="28"/>
      <c r="C15" s="28"/>
      <c r="D15" s="33"/>
      <c r="E15" s="36" t="s">
        <v>41</v>
      </c>
      <c r="F15" s="34"/>
      <c r="G15" s="35">
        <f>SUBTOTAL(1,G11:G14)</f>
        <v>1631</v>
      </c>
      <c r="H15" s="35"/>
    </row>
    <row r="16" spans="2:8" x14ac:dyDescent="0.3">
      <c r="B16" s="28"/>
      <c r="C16" s="28">
        <f>SUBTOTAL(3,C11:C14)</f>
        <v>4</v>
      </c>
      <c r="D16" s="33"/>
      <c r="E16" s="36" t="s">
        <v>37</v>
      </c>
      <c r="F16" s="34"/>
      <c r="G16" s="35"/>
      <c r="H16" s="35"/>
    </row>
    <row r="17" spans="2:8" x14ac:dyDescent="0.3">
      <c r="B17" s="28"/>
      <c r="C17" s="28"/>
      <c r="D17" s="33"/>
      <c r="E17" s="36" t="s">
        <v>42</v>
      </c>
      <c r="F17" s="34"/>
      <c r="G17" s="35">
        <f>SUBTOTAL(1,G3:G14)</f>
        <v>2022</v>
      </c>
      <c r="H17" s="35"/>
    </row>
    <row r="18" spans="2:8" x14ac:dyDescent="0.3">
      <c r="B18" s="28"/>
      <c r="C18" s="28">
        <f>SUBTOTAL(3,C3:C14)</f>
        <v>8</v>
      </c>
      <c r="D18" s="33"/>
      <c r="E18" s="36" t="s">
        <v>38</v>
      </c>
      <c r="F18" s="34"/>
      <c r="G18" s="35"/>
      <c r="H18" s="35"/>
    </row>
  </sheetData>
  <sortState xmlns:xlrd2="http://schemas.microsoft.com/office/spreadsheetml/2017/richdata2" ref="B3:H14">
    <sortCondition descending="1" ref="E2:E14"/>
  </sortState>
  <phoneticPr fontId="1" type="noConversion"/>
  <conditionalFormatting sqref="B3:H18">
    <cfRule type="expression" dxfId="0" priority="1">
      <formula>$G3&gt;=2000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윤현</dc:creator>
  <cp:lastModifiedBy>최 윤현</cp:lastModifiedBy>
  <dcterms:created xsi:type="dcterms:W3CDTF">2026-04-14T04:45:26Z</dcterms:created>
  <dcterms:modified xsi:type="dcterms:W3CDTF">2026-04-21T04:30:15Z</dcterms:modified>
</cp:coreProperties>
</file>