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55C3E26-FB73-49C4-80EA-33EFD5D91F7D}" xr6:coauthVersionLast="47" xr6:coauthVersionMax="47" xr10:uidLastSave="{00000000-0000-0000-0000-000000000000}"/>
  <bookViews>
    <workbookView xWindow="-120" yWindow="-120" windowWidth="29040" windowHeight="15720" activeTab="3" xr2:uid="{AE9BBC5B-945F-48B6-BE3B-71EF52820FC0}"/>
  </bookViews>
  <sheets>
    <sheet name="제1작업" sheetId="1" r:id="rId1"/>
    <sheet name="제2작업" sheetId="2" r:id="rId2"/>
    <sheet name="제3작업" sheetId="4" r:id="rId3"/>
    <sheet name="제4작업" sheetId="5" r:id="rId4"/>
  </sheets>
  <definedNames>
    <definedName name="_xlnm._FilterDatabase" localSheetId="0" hidden="1">제1작업!$D$5:$D$12</definedName>
    <definedName name="_xlnm._FilterDatabase" localSheetId="1" hidden="1">제2작업!$B$2:$H$10</definedName>
    <definedName name="_xlnm.Criteria" localSheetId="1">제2작업!$B$14:$C$16</definedName>
    <definedName name="_xlnm.Extract" localSheetId="1">제2작업!$B$18:$E$18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3" i="1" l="1"/>
  <c r="J14" i="1"/>
  <c r="E14" i="1"/>
  <c r="E13" i="1"/>
  <c r="J6" i="1"/>
  <c r="J7" i="1"/>
  <c r="J8" i="1"/>
  <c r="J9" i="1"/>
  <c r="J10" i="1"/>
  <c r="J11" i="1"/>
  <c r="J12" i="1"/>
  <c r="J5" i="1"/>
  <c r="I6" i="1"/>
  <c r="I7" i="1"/>
  <c r="I8" i="1"/>
  <c r="I9" i="1"/>
  <c r="I10" i="1"/>
  <c r="I11" i="1"/>
  <c r="I12" i="1"/>
  <c r="I5" i="1"/>
</calcChain>
</file>

<file path=xl/sharedStrings.xml><?xml version="1.0" encoding="utf-8"?>
<sst xmlns="http://schemas.openxmlformats.org/spreadsheetml/2006/main" count="106" uniqueCount="46">
  <si>
    <t>상품코드</t>
    <phoneticPr fontId="2" type="noConversion"/>
  </si>
  <si>
    <t>상품명</t>
    <phoneticPr fontId="2" type="noConversion"/>
  </si>
  <si>
    <t>구분</t>
  </si>
  <si>
    <t>구분</t>
    <phoneticPr fontId="2" type="noConversion"/>
  </si>
  <si>
    <t>상품입고일</t>
    <phoneticPr fontId="2" type="noConversion"/>
  </si>
  <si>
    <t>판매가격</t>
  </si>
  <si>
    <t>판매가격</t>
    <phoneticPr fontId="2" type="noConversion"/>
  </si>
  <si>
    <t>전월매출
(단위:천원)</t>
    <phoneticPr fontId="2" type="noConversion"/>
  </si>
  <si>
    <t>2월
판매수량</t>
    <phoneticPr fontId="2" type="noConversion"/>
  </si>
  <si>
    <t>비고</t>
    <phoneticPr fontId="2" type="noConversion"/>
  </si>
  <si>
    <t>순위</t>
    <phoneticPr fontId="2" type="noConversion"/>
  </si>
  <si>
    <t>N36-84</t>
    <phoneticPr fontId="2" type="noConversion"/>
  </si>
  <si>
    <t>B55-25</t>
    <phoneticPr fontId="2" type="noConversion"/>
  </si>
  <si>
    <t>H78-16</t>
    <phoneticPr fontId="2" type="noConversion"/>
  </si>
  <si>
    <t>K21-42</t>
    <phoneticPr fontId="2" type="noConversion"/>
  </si>
  <si>
    <t>B76-37</t>
    <phoneticPr fontId="2" type="noConversion"/>
  </si>
  <si>
    <t>K75-67</t>
    <phoneticPr fontId="2" type="noConversion"/>
  </si>
  <si>
    <t>K45-28</t>
    <phoneticPr fontId="2" type="noConversion"/>
  </si>
  <si>
    <t>H12-49</t>
    <phoneticPr fontId="2" type="noConversion"/>
  </si>
  <si>
    <t>페퍼민트</t>
  </si>
  <si>
    <t>페퍼민트</t>
    <phoneticPr fontId="2" type="noConversion"/>
  </si>
  <si>
    <t>모과</t>
    <phoneticPr fontId="2" type="noConversion"/>
  </si>
  <si>
    <t>로즈마리</t>
    <phoneticPr fontId="2" type="noConversion"/>
  </si>
  <si>
    <t>유기농 대작</t>
    <phoneticPr fontId="2" type="noConversion"/>
  </si>
  <si>
    <t>와일드 베리즈</t>
    <phoneticPr fontId="2" type="noConversion"/>
  </si>
  <si>
    <t>자몽</t>
    <phoneticPr fontId="2" type="noConversion"/>
  </si>
  <si>
    <t>차예화개녹차</t>
    <phoneticPr fontId="2" type="noConversion"/>
  </si>
  <si>
    <t>레몬밤</t>
    <phoneticPr fontId="2" type="noConversion"/>
  </si>
  <si>
    <t>허브차</t>
  </si>
  <si>
    <t>허브차</t>
    <phoneticPr fontId="2" type="noConversion"/>
  </si>
  <si>
    <t>과일차</t>
  </si>
  <si>
    <t>과일차</t>
    <phoneticPr fontId="2" type="noConversion"/>
  </si>
  <si>
    <t>녹차</t>
  </si>
  <si>
    <t>녹차</t>
    <phoneticPr fontId="2" type="noConversion"/>
  </si>
  <si>
    <t>허브차 2월 판매수량 합계</t>
    <phoneticPr fontId="2" type="noConversion"/>
  </si>
  <si>
    <t>과일차 상품의 수</t>
    <phoneticPr fontId="2" type="noConversion"/>
  </si>
  <si>
    <t>허브차 상품의 평균 판매가격</t>
    <phoneticPr fontId="2" type="noConversion"/>
  </si>
  <si>
    <t>&lt;&gt;과일차</t>
    <phoneticPr fontId="2" type="noConversion"/>
  </si>
  <si>
    <t>&lt;=40000</t>
    <phoneticPr fontId="2" type="noConversion"/>
  </si>
  <si>
    <t>총합계</t>
  </si>
  <si>
    <t>개수 : 상품명</t>
  </si>
  <si>
    <t>15001-30000</t>
  </si>
  <si>
    <t>30001-45000</t>
  </si>
  <si>
    <t>45001-60000</t>
  </si>
  <si>
    <t>평균 : 전월매출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</si>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</sst>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&quot;위&quot;"/>
    <numFmt numFmtId="177" formatCode="#,##0&quot;원&quot;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3" fontId="1" fillId="0" borderId="11" xfId="0" applyNumberFormat="1" applyFont="1" applyBorder="1">
      <alignment vertical="center"/>
    </xf>
    <xf numFmtId="3" fontId="1" fillId="0" borderId="1" xfId="0" applyNumberFormat="1" applyFont="1" applyBorder="1">
      <alignment vertical="center"/>
    </xf>
    <xf numFmtId="3" fontId="1" fillId="0" borderId="17" xfId="0" applyNumberFormat="1" applyFont="1" applyBorder="1">
      <alignment vertical="center"/>
    </xf>
    <xf numFmtId="14" fontId="1" fillId="0" borderId="1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3" fontId="1" fillId="0" borderId="1" xfId="0" applyNumberFormat="1" applyFont="1" applyFill="1" applyBorder="1">
      <alignment vertical="center"/>
    </xf>
    <xf numFmtId="3" fontId="1" fillId="0" borderId="24" xfId="0" applyNumberFormat="1" applyFont="1" applyFill="1" applyBorder="1">
      <alignment vertical="center"/>
    </xf>
    <xf numFmtId="0" fontId="1" fillId="0" borderId="22" xfId="0" applyFont="1" applyFill="1" applyBorder="1" applyAlignment="1">
      <alignment horizontal="center" vertical="center"/>
    </xf>
    <xf numFmtId="3" fontId="1" fillId="0" borderId="17" xfId="0" applyNumberFormat="1" applyFont="1" applyFill="1" applyBorder="1">
      <alignment vertical="center"/>
    </xf>
    <xf numFmtId="3" fontId="1" fillId="0" borderId="25" xfId="0" applyNumberFormat="1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3" fontId="1" fillId="0" borderId="12" xfId="0" applyNumberFormat="1" applyFont="1" applyBorder="1">
      <alignment vertical="center"/>
    </xf>
    <xf numFmtId="3" fontId="1" fillId="0" borderId="6" xfId="0" applyNumberFormat="1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3" fontId="1" fillId="0" borderId="8" xfId="0" applyNumberFormat="1" applyFont="1" applyBorder="1">
      <alignment vertical="center"/>
    </xf>
    <xf numFmtId="3" fontId="1" fillId="0" borderId="9" xfId="0" applyNumberFormat="1" applyFont="1" applyBorder="1">
      <alignment vertical="center"/>
    </xf>
    <xf numFmtId="3" fontId="0" fillId="0" borderId="0" xfId="0" applyNumberFormat="1" applyAlignment="1">
      <alignment horizontal="left" vertical="center"/>
    </xf>
    <xf numFmtId="3" fontId="0" fillId="0" borderId="0" xfId="0" applyNumberFormat="1">
      <alignment vertical="center"/>
    </xf>
    <xf numFmtId="176" fontId="1" fillId="0" borderId="12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177" fontId="1" fillId="0" borderId="11" xfId="0" applyNumberFormat="1" applyFont="1" applyBorder="1">
      <alignment vertical="center"/>
    </xf>
    <xf numFmtId="177" fontId="1" fillId="0" borderId="1" xfId="0" applyNumberFormat="1" applyFont="1" applyBorder="1">
      <alignment vertical="center"/>
    </xf>
    <xf numFmtId="177" fontId="1" fillId="0" borderId="17" xfId="0" applyNumberFormat="1" applyFont="1" applyBorder="1">
      <alignment vertical="center"/>
    </xf>
  </cellXfs>
  <cellStyles count="1">
    <cellStyle name="표준" xfId="0" builtinId="0"/>
  </cellStyles>
  <dxfs count="2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굴림"/>
        <family val="3"/>
        <charset val="129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굴림"/>
        <family val="3"/>
        <charset val="129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굴림"/>
        <family val="3"/>
        <charset val="129"/>
        <scheme val="none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굴림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color rgb="FF0070C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r>
              <a:rPr lang="ko-KR" altLang="en-US" sz="2000" b="1"/>
              <a:t>허브차 및 과일차 판매 현황</a:t>
            </a:r>
            <a:endParaRPr lang="en-US" altLang="ko-KR" sz="2000" b="1"/>
          </a:p>
        </c:rich>
      </c:tx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제1작업!$F$4</c:f>
              <c:strCache>
                <c:ptCount val="1"/>
                <c:pt idx="0">
                  <c:v>판매가격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0B-4290-8818-24B712F320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제1작업!$C$5:$C$12</c15:sqref>
                  </c15:fullRef>
                </c:ext>
              </c:extLst>
              <c:f>(제1작업!$C$5:$C$7,제1작업!$C$9:$C$10,제1작업!$C$12)</c:f>
              <c:strCache>
                <c:ptCount val="6"/>
                <c:pt idx="0">
                  <c:v>페퍼민트</c:v>
                </c:pt>
                <c:pt idx="1">
                  <c:v>모과</c:v>
                </c:pt>
                <c:pt idx="2">
                  <c:v>로즈마리</c:v>
                </c:pt>
                <c:pt idx="3">
                  <c:v>와일드 베리즈</c:v>
                </c:pt>
                <c:pt idx="4">
                  <c:v>자몽</c:v>
                </c:pt>
                <c:pt idx="5">
                  <c:v>레몬밤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제1작업!$F$5:$F$12</c15:sqref>
                  </c15:fullRef>
                </c:ext>
              </c:extLst>
              <c:f>(제1작업!$F$5:$F$7,제1작업!$F$9:$F$10,제1작업!$F$12)</c:f>
              <c:numCache>
                <c:formatCode>#,##0"원"</c:formatCode>
                <c:ptCount val="6"/>
                <c:pt idx="0">
                  <c:v>32500</c:v>
                </c:pt>
                <c:pt idx="1">
                  <c:v>31500</c:v>
                </c:pt>
                <c:pt idx="2">
                  <c:v>26800</c:v>
                </c:pt>
                <c:pt idx="3">
                  <c:v>47500</c:v>
                </c:pt>
                <c:pt idx="4">
                  <c:v>34000</c:v>
                </c:pt>
                <c:pt idx="5">
                  <c:v>32900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B-4290-8818-24B712F32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66172095"/>
        <c:axId val="1966157951"/>
      </c:barChart>
      <c:lineChart>
        <c:grouping val="standard"/>
        <c:varyColors val="0"/>
        <c:ser>
          <c:idx val="1"/>
          <c:order val="1"/>
          <c:tx>
            <c:v>2월 판매수량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제1작업!$C$5:$C$12</c15:sqref>
                  </c15:fullRef>
                </c:ext>
              </c:extLst>
              <c:f>(제1작업!$C$5:$C$7,제1작업!$C$9:$C$10,제1작업!$C$12)</c:f>
              <c:strCache>
                <c:ptCount val="6"/>
                <c:pt idx="0">
                  <c:v>페퍼민트</c:v>
                </c:pt>
                <c:pt idx="1">
                  <c:v>모과</c:v>
                </c:pt>
                <c:pt idx="2">
                  <c:v>로즈마리</c:v>
                </c:pt>
                <c:pt idx="3">
                  <c:v>와일드 베리즈</c:v>
                </c:pt>
                <c:pt idx="4">
                  <c:v>자몽</c:v>
                </c:pt>
                <c:pt idx="5">
                  <c:v>레몬밤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제1작업!$H$5:$H$12</c15:sqref>
                  </c15:fullRef>
                </c:ext>
              </c:extLst>
              <c:f>(제1작업!$H$5:$H$7,제1작업!$H$9:$H$10,제1작업!$H$12)</c:f>
              <c:numCache>
                <c:formatCode>#,##0</c:formatCode>
                <c:ptCount val="6"/>
                <c:pt idx="0">
                  <c:v>325</c:v>
                </c:pt>
                <c:pt idx="1">
                  <c:v>165</c:v>
                </c:pt>
                <c:pt idx="2">
                  <c:v>236</c:v>
                </c:pt>
                <c:pt idx="3">
                  <c:v>325</c:v>
                </c:pt>
                <c:pt idx="4">
                  <c:v>315</c:v>
                </c:pt>
                <c:pt idx="5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0B-4290-8818-24B712F32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492143"/>
        <c:axId val="2109495471"/>
      </c:lineChart>
      <c:catAx>
        <c:axId val="196617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1966157951"/>
        <c:crosses val="autoZero"/>
        <c:auto val="1"/>
        <c:lblAlgn val="ctr"/>
        <c:lblOffset val="100"/>
        <c:noMultiLvlLbl val="0"/>
      </c:catAx>
      <c:valAx>
        <c:axId val="196615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#,##0&quot;원&quot;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1966172095"/>
        <c:crosses val="autoZero"/>
        <c:crossBetween val="between"/>
      </c:valAx>
      <c:valAx>
        <c:axId val="2109495471"/>
        <c:scaling>
          <c:orientation val="minMax"/>
          <c:max val="400"/>
        </c:scaling>
        <c:delete val="0"/>
        <c:axPos val="r"/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2109492143"/>
        <c:crosses val="max"/>
        <c:crossBetween val="between"/>
        <c:majorUnit val="100"/>
      </c:valAx>
      <c:catAx>
        <c:axId val="2109492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9495471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굴림" panose="020B0600000101010101" pitchFamily="50" charset="-127"/>
          <a:ea typeface="굴림" panose="020B0600000101010101" pitchFamily="50" charset="-127"/>
        </a:defRPr>
      </a:pPr>
      <a:endParaRPr lang="ko-KR"/>
    </a:p>
  </c:txPr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2A8E23-C653-4D73-858B-3534FF9C4F8A}">
  <sheetPr/>
  <sheetViews>
    <sheetView tabSelected="1" zoomScale="11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104776</xdr:rowOff>
    </xdr:from>
    <xdr:to>
      <xdr:col>6</xdr:col>
      <xdr:colOff>152400</xdr:colOff>
      <xdr:row>2</xdr:row>
      <xdr:rowOff>219076</xdr:rowOff>
    </xdr:to>
    <xdr:sp macro="" textlink="">
      <xdr:nvSpPr>
        <xdr:cNvPr id="2" name="십자형 1">
          <a:extLst>
            <a:ext uri="{FF2B5EF4-FFF2-40B4-BE49-F238E27FC236}">
              <a16:creationId xmlns:a16="http://schemas.microsoft.com/office/drawing/2014/main" id="{51A7630B-D43E-433F-8F11-AE447667AE5D}"/>
            </a:ext>
          </a:extLst>
        </xdr:cNvPr>
        <xdr:cNvSpPr/>
      </xdr:nvSpPr>
      <xdr:spPr>
        <a:xfrm>
          <a:off x="152400" y="104776"/>
          <a:ext cx="4114800" cy="742950"/>
        </a:xfrm>
        <a:prstGeom prst="plus">
          <a:avLst>
            <a:gd name="adj" fmla="val 11250"/>
          </a:avLst>
        </a:prstGeom>
        <a:solidFill>
          <a:srgbClr val="FFFF00"/>
        </a:solidFill>
        <a:ln>
          <a:solidFill>
            <a:schemeClr val="tx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ysClr val="windowText" lastClr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건강한 차 판매 현황</a:t>
          </a:r>
        </a:p>
      </xdr:txBody>
    </xdr:sp>
    <xdr:clientData/>
  </xdr:twoCellAnchor>
  <xdr:twoCellAnchor editAs="oneCell">
    <xdr:from>
      <xdr:col>6</xdr:col>
      <xdr:colOff>238124</xdr:colOff>
      <xdr:row>0</xdr:row>
      <xdr:rowOff>104775</xdr:rowOff>
    </xdr:from>
    <xdr:to>
      <xdr:col>10</xdr:col>
      <xdr:colOff>40970</xdr:colOff>
      <xdr:row>2</xdr:row>
      <xdr:rowOff>257175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4238A14-89A1-4083-987C-96EA67B30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4" y="104775"/>
          <a:ext cx="2803221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338" cy="6073734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2331CB5-EF12-4936-9C24-00694F3C9D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0.35623</cdr:x>
      <cdr:y>0.11333</cdr:y>
    </cdr:from>
    <cdr:to>
      <cdr:x>0.47841</cdr:x>
      <cdr:y>0.19504</cdr:y>
    </cdr:to>
    <cdr:sp macro="" textlink="">
      <cdr:nvSpPr>
        <cdr:cNvPr id="2" name="말풍선: 모서리가 둥근 사각형 1">
          <a:extLst xmlns:a="http://schemas.openxmlformats.org/drawingml/2006/main">
            <a:ext uri="{FF2B5EF4-FFF2-40B4-BE49-F238E27FC236}">
              <a16:creationId xmlns:a16="http://schemas.microsoft.com/office/drawing/2014/main" id="{F113D575-255E-4B57-B24E-AEB3EFF770F0}"/>
            </a:ext>
          </a:extLst>
        </cdr:cNvPr>
        <cdr:cNvSpPr/>
      </cdr:nvSpPr>
      <cdr:spPr>
        <a:xfrm xmlns:a="http://schemas.openxmlformats.org/drawingml/2006/main">
          <a:off x="3313740" y="688361"/>
          <a:ext cx="1136596" cy="496260"/>
        </a:xfrm>
        <a:prstGeom xmlns:a="http://schemas.openxmlformats.org/drawingml/2006/main" prst="wedgeRoundRectCallout">
          <a:avLst>
            <a:gd name="adj1" fmla="val 98863"/>
            <a:gd name="adj2" fmla="val -36282"/>
            <a:gd name="adj3" fmla="val 16667"/>
          </a:avLst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ko-KR" altLang="en-US"/>
            <a:t>최대 판매가격</a:t>
          </a:r>
          <a:endParaRPr lang="ko-KR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2.439052083333" createdVersion="7" refreshedVersion="7" minRefreshableVersion="3" recordCount="8" xr:uid="{DE01BADD-1066-410B-B8DA-EE20CB2760DA}">
  <cacheSource type="worksheet">
    <worksheetSource ref="B4:H12" sheet="제1작업"/>
  </cacheSource>
  <cacheFields count="7">
    <cacheField name="상품코드" numFmtId="0">
      <sharedItems/>
    </cacheField>
    <cacheField name="상품명" numFmtId="0">
      <sharedItems count="8">
        <s v="페퍼민트"/>
        <s v="모과"/>
        <s v="로즈마리"/>
        <s v="유기농 대작"/>
        <s v="와일드 베리즈"/>
        <s v="자몽"/>
        <s v="차예화개녹차"/>
        <s v="레몬밤"/>
      </sharedItems>
    </cacheField>
    <cacheField name="구분" numFmtId="0">
      <sharedItems count="3">
        <s v="허브차"/>
        <s v="과일차"/>
        <s v="녹차"/>
      </sharedItems>
    </cacheField>
    <cacheField name="상품입고일" numFmtId="14">
      <sharedItems containsSemiMixedTypes="0" containsNonDate="0" containsDate="1" containsString="0" minDate="2026-01-03T00:00:00" maxDate="2026-01-29T00:00:00"/>
    </cacheField>
    <cacheField name="판매가격" numFmtId="3">
      <sharedItems containsSemiMixedTypes="0" containsString="0" containsNumber="1" containsInteger="1" minValue="26800" maxValue="53400" count="8">
        <n v="32500"/>
        <n v="31500"/>
        <n v="26800"/>
        <n v="53400"/>
        <n v="47500"/>
        <n v="34000"/>
        <n v="32600"/>
        <n v="32900"/>
      </sharedItems>
      <fieldGroup base="4">
        <rangePr autoStart="0" startNum="15001" endNum="53400" groupInterval="15000"/>
        <groupItems count="5">
          <s v="&lt;15001"/>
          <s v="15001-30000"/>
          <s v="30001-45000"/>
          <s v="45001-60000"/>
          <s v="&gt;60001"/>
        </groupItems>
      </fieldGroup>
    </cacheField>
    <cacheField name="전월매출_x000a_(단위:천원)" numFmtId="3">
      <sharedItems containsSemiMixedTypes="0" containsString="0" containsNumber="1" containsInteger="1" minValue="1224" maxValue="3255" count="8">
        <n v="1354"/>
        <n v="2563"/>
        <n v="1224"/>
        <n v="1599"/>
        <n v="3255"/>
        <n v="1960"/>
        <n v="1650"/>
        <n v="2458"/>
      </sharedItems>
    </cacheField>
    <cacheField name="2월_x000a_판매수량" numFmtId="3">
      <sharedItems containsSemiMixedTypes="0" containsString="0" containsNumber="1" containsInteger="1" minValue="128" maxValue="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N36-84"/>
    <x v="0"/>
    <x v="0"/>
    <d v="2026-01-09T00:00:00"/>
    <x v="0"/>
    <x v="0"/>
    <n v="325"/>
  </r>
  <r>
    <s v="B55-25"/>
    <x v="1"/>
    <x v="1"/>
    <d v="2026-01-15T00:00:00"/>
    <x v="1"/>
    <x v="1"/>
    <n v="165"/>
  </r>
  <r>
    <s v="H78-16"/>
    <x v="2"/>
    <x v="0"/>
    <d v="2026-01-23T00:00:00"/>
    <x v="2"/>
    <x v="2"/>
    <n v="236"/>
  </r>
  <r>
    <s v="K21-42"/>
    <x v="3"/>
    <x v="2"/>
    <d v="2026-01-07T00:00:00"/>
    <x v="3"/>
    <x v="3"/>
    <n v="247"/>
  </r>
  <r>
    <s v="B76-37"/>
    <x v="4"/>
    <x v="1"/>
    <d v="2026-01-17T00:00:00"/>
    <x v="4"/>
    <x v="4"/>
    <n v="325"/>
  </r>
  <r>
    <s v="K75-67"/>
    <x v="5"/>
    <x v="1"/>
    <d v="2026-01-28T00:00:00"/>
    <x v="5"/>
    <x v="5"/>
    <n v="315"/>
  </r>
  <r>
    <s v="K45-28"/>
    <x v="6"/>
    <x v="2"/>
    <d v="2026-01-03T00:00:00"/>
    <x v="6"/>
    <x v="6"/>
    <n v="128"/>
  </r>
  <r>
    <s v="H12-49"/>
    <x v="7"/>
    <x v="0"/>
    <d v="2026-01-16T00:00:00"/>
    <x v="7"/>
    <x v="7"/>
    <n v="1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9F591-C45C-4BF0-BD2B-255A8887F69F}" name="피벗 테이블1" cacheId="6" applyNumberFormats="0" applyBorderFormats="0" applyFontFormats="0" applyPatternFormats="0" applyAlignmentFormats="0" applyWidthHeightFormats="1" dataCaption="값" missingCaption="***" updatedVersion="7" minRefreshableVersion="3" useAutoFormatting="1" colGrandTotals="0" itemPrintTitles="1" createdVersion="7" indent="0" outline="1" outlineData="1" multipleFieldFilters="0" rowHeaderCaption="판매가격" colHeaderCaption="구분">
  <location ref="A3:G9" firstHeaderRow="1" firstDataRow="3" firstDataCol="1"/>
  <pivotFields count="7">
    <pivotField showAll="0"/>
    <pivotField dataField="1" showAll="0">
      <items count="9">
        <item x="7"/>
        <item x="2"/>
        <item x="1"/>
        <item x="4"/>
        <item x="3"/>
        <item x="5"/>
        <item x="6"/>
        <item x="0"/>
        <item t="default"/>
      </items>
    </pivotField>
    <pivotField axis="axisCol" showAll="0" sortType="descending">
      <items count="4">
        <item x="0"/>
        <item x="2"/>
        <item x="1"/>
        <item t="default"/>
      </items>
    </pivotField>
    <pivotField numFmtId="14" showAll="0"/>
    <pivotField axis="axisRow" numFmtId="3" showAll="0">
      <items count="6">
        <item x="0"/>
        <item x="1"/>
        <item x="2"/>
        <item x="3"/>
        <item x="4"/>
        <item t="default"/>
      </items>
    </pivotField>
    <pivotField dataField="1" numFmtId="3" showAll="0">
      <items count="9">
        <item x="2"/>
        <item x="0"/>
        <item x="3"/>
        <item x="6"/>
        <item x="5"/>
        <item x="7"/>
        <item x="1"/>
        <item x="4"/>
        <item t="default"/>
      </items>
    </pivotField>
    <pivotField numFmtId="3" showAll="0"/>
  </pivotFields>
  <rowFields count="1">
    <field x="4"/>
  </rowFields>
  <rowItems count="4">
    <i>
      <x v="1"/>
    </i>
    <i>
      <x v="2"/>
    </i>
    <i>
      <x v="3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dataFields count="2">
    <dataField name="개수 : 상품명" fld="1" subtotal="count" baseField="0" baseItem="0"/>
    <dataField name="평균 : 전월매출" fld="5" subtotal="average" baseField="4" baseItem="2"/>
  </dataFields>
  <formats count="16">
    <format dxfId="15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>
            <x v="3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0"/>
          </reference>
          <reference field="4" count="1">
            <x v="3"/>
          </reference>
        </references>
      </pivotArea>
    </format>
    <format dxfId="13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>
            <x v="1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>
            <x v="1"/>
          </reference>
        </references>
      </pivotArea>
    </format>
    <format dxfId="11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1"/>
          </reference>
          <reference field="4" count="1">
            <x v="1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1"/>
          </reference>
          <reference field="2" count="1" selected="0">
            <x v="2"/>
          </reference>
          <reference field="4" count="1">
            <x v="1"/>
          </reference>
        </references>
      </pivotArea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2" type="button" dataOnly="0" labelOnly="1" outline="0" axis="axisCol" fieldPosition="0"/>
    </format>
    <format dxfId="6">
      <pivotArea field="-2" type="button" dataOnly="0" labelOnly="1" outline="0" axis="axisCol" fieldPosition="1"/>
    </format>
    <format dxfId="5">
      <pivotArea type="topRight" dataOnly="0" labelOnly="1" outline="0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C27A53-D1C7-472F-99C3-1BD968DCDCFD}" name="표1" displayName="표1" ref="B18:E25" totalsRowShown="0" headerRowDxfId="16" dataDxfId="24" headerRowBorderDxfId="22" tableBorderDxfId="23" totalsRowBorderDxfId="21">
  <autoFilter ref="B18:E25" xr:uid="{95C27A53-D1C7-472F-99C3-1BD968DCDCFD}"/>
  <tableColumns count="4">
    <tableColumn id="1" xr3:uid="{FE5B9B9D-DD9B-4DED-B20E-D5000E74DC9D}" name="상품코드" dataDxfId="20"/>
    <tableColumn id="2" xr3:uid="{DACD1A6C-8B4C-43C4-9E3C-FEDA8D0A4F53}" name="판매가격" dataDxfId="19"/>
    <tableColumn id="3" xr3:uid="{D9541268-18A9-4D39-8291-1438AC9E6708}" name="전월매출_x000a_(단위:천원)" dataDxfId="18"/>
    <tableColumn id="4" xr3:uid="{AE53A64F-296A-47C5-9BDC-22E486BBB2E6}" name="2월_x000a_판매수량" dataDxfId="17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DA73-5A3C-4D31-A22B-6E3FB469E062}">
  <dimension ref="B1:J14"/>
  <sheetViews>
    <sheetView workbookViewId="0">
      <selection activeCell="F5" sqref="F5:F12"/>
    </sheetView>
  </sheetViews>
  <sheetFormatPr defaultRowHeight="13.5" x14ac:dyDescent="0.3"/>
  <cols>
    <col min="1" max="1" width="1.625" style="1" customWidth="1"/>
    <col min="2" max="2" width="9" style="1"/>
    <col min="3" max="3" width="13.75" style="1" bestFit="1" customWidth="1"/>
    <col min="4" max="4" width="9" style="1"/>
    <col min="5" max="5" width="13.25" style="1" bestFit="1" customWidth="1"/>
    <col min="6" max="6" width="10.125" style="1" bestFit="1" customWidth="1"/>
    <col min="7" max="7" width="12.375" style="1" customWidth="1"/>
    <col min="8" max="11" width="9" style="1"/>
    <col min="12" max="12" width="9" style="1" customWidth="1"/>
    <col min="13" max="16384" width="9" style="1"/>
  </cols>
  <sheetData>
    <row r="1" spans="2:10" ht="24.95" customHeight="1" x14ac:dyDescent="0.3"/>
    <row r="2" spans="2:10" ht="24.95" customHeight="1" x14ac:dyDescent="0.3"/>
    <row r="3" spans="2:10" ht="24.95" customHeight="1" thickBot="1" x14ac:dyDescent="0.35"/>
    <row r="4" spans="2:10" ht="27.75" thickBot="1" x14ac:dyDescent="0.35">
      <c r="B4" s="8" t="s">
        <v>0</v>
      </c>
      <c r="C4" s="9" t="s">
        <v>1</v>
      </c>
      <c r="D4" s="9" t="s">
        <v>3</v>
      </c>
      <c r="E4" s="9" t="s">
        <v>4</v>
      </c>
      <c r="F4" s="9" t="s">
        <v>6</v>
      </c>
      <c r="G4" s="16" t="s">
        <v>7</v>
      </c>
      <c r="H4" s="16" t="s">
        <v>8</v>
      </c>
      <c r="I4" s="9" t="s">
        <v>9</v>
      </c>
      <c r="J4" s="17" t="s">
        <v>10</v>
      </c>
    </row>
    <row r="5" spans="2:10" x14ac:dyDescent="0.3">
      <c r="B5" s="10" t="s">
        <v>11</v>
      </c>
      <c r="C5" s="11" t="s">
        <v>20</v>
      </c>
      <c r="D5" s="11" t="s">
        <v>29</v>
      </c>
      <c r="E5" s="25">
        <v>46031</v>
      </c>
      <c r="F5" s="55">
        <v>32500</v>
      </c>
      <c r="G5" s="22">
        <v>1354</v>
      </c>
      <c r="H5" s="22">
        <v>325</v>
      </c>
      <c r="I5" s="11" t="str">
        <f>IF(LEFT(B5,1)="K","국내산","")</f>
        <v/>
      </c>
      <c r="J5" s="51">
        <f>_xlfn.RANK.EQ(H5,$H$5:$H$12,0)</f>
        <v>1</v>
      </c>
    </row>
    <row r="6" spans="2:10" x14ac:dyDescent="0.3">
      <c r="B6" s="12" t="s">
        <v>12</v>
      </c>
      <c r="C6" s="13" t="s">
        <v>21</v>
      </c>
      <c r="D6" s="13" t="s">
        <v>31</v>
      </c>
      <c r="E6" s="26">
        <v>46037</v>
      </c>
      <c r="F6" s="56">
        <v>31500</v>
      </c>
      <c r="G6" s="23">
        <v>2563</v>
      </c>
      <c r="H6" s="23">
        <v>165</v>
      </c>
      <c r="I6" s="11" t="str">
        <f t="shared" ref="I6:I12" si="0">IF(LEFT(B6,1)="K","국내산","")</f>
        <v/>
      </c>
      <c r="J6" s="51">
        <f t="shared" ref="J6:J12" si="1">_xlfn.RANK.EQ(H6,$H$5:$H$12,0)</f>
        <v>7</v>
      </c>
    </row>
    <row r="7" spans="2:10" x14ac:dyDescent="0.3">
      <c r="B7" s="12" t="s">
        <v>13</v>
      </c>
      <c r="C7" s="13" t="s">
        <v>22</v>
      </c>
      <c r="D7" s="13" t="s">
        <v>29</v>
      </c>
      <c r="E7" s="26">
        <v>46045</v>
      </c>
      <c r="F7" s="56">
        <v>26800</v>
      </c>
      <c r="G7" s="23">
        <v>1224</v>
      </c>
      <c r="H7" s="23">
        <v>236</v>
      </c>
      <c r="I7" s="11" t="str">
        <f t="shared" si="0"/>
        <v/>
      </c>
      <c r="J7" s="51">
        <f t="shared" si="1"/>
        <v>5</v>
      </c>
    </row>
    <row r="8" spans="2:10" x14ac:dyDescent="0.3">
      <c r="B8" s="12" t="s">
        <v>14</v>
      </c>
      <c r="C8" s="13" t="s">
        <v>23</v>
      </c>
      <c r="D8" s="13" t="s">
        <v>33</v>
      </c>
      <c r="E8" s="26">
        <v>46029</v>
      </c>
      <c r="F8" s="56">
        <v>53400</v>
      </c>
      <c r="G8" s="23">
        <v>1599</v>
      </c>
      <c r="H8" s="23">
        <v>247</v>
      </c>
      <c r="I8" s="11" t="str">
        <f t="shared" si="0"/>
        <v>국내산</v>
      </c>
      <c r="J8" s="51">
        <f t="shared" si="1"/>
        <v>4</v>
      </c>
    </row>
    <row r="9" spans="2:10" x14ac:dyDescent="0.3">
      <c r="B9" s="12" t="s">
        <v>15</v>
      </c>
      <c r="C9" s="13" t="s">
        <v>24</v>
      </c>
      <c r="D9" s="13" t="s">
        <v>31</v>
      </c>
      <c r="E9" s="26">
        <v>46039</v>
      </c>
      <c r="F9" s="56">
        <v>47500</v>
      </c>
      <c r="G9" s="23">
        <v>3255</v>
      </c>
      <c r="H9" s="23">
        <v>325</v>
      </c>
      <c r="I9" s="11" t="str">
        <f t="shared" si="0"/>
        <v/>
      </c>
      <c r="J9" s="51">
        <f t="shared" si="1"/>
        <v>1</v>
      </c>
    </row>
    <row r="10" spans="2:10" x14ac:dyDescent="0.3">
      <c r="B10" s="12" t="s">
        <v>16</v>
      </c>
      <c r="C10" s="13" t="s">
        <v>25</v>
      </c>
      <c r="D10" s="13" t="s">
        <v>31</v>
      </c>
      <c r="E10" s="26">
        <v>46050</v>
      </c>
      <c r="F10" s="56">
        <v>34000</v>
      </c>
      <c r="G10" s="23">
        <v>1960</v>
      </c>
      <c r="H10" s="23">
        <v>315</v>
      </c>
      <c r="I10" s="11" t="str">
        <f t="shared" si="0"/>
        <v>국내산</v>
      </c>
      <c r="J10" s="51">
        <f t="shared" si="1"/>
        <v>3</v>
      </c>
    </row>
    <row r="11" spans="2:10" x14ac:dyDescent="0.3">
      <c r="B11" s="12" t="s">
        <v>17</v>
      </c>
      <c r="C11" s="13" t="s">
        <v>26</v>
      </c>
      <c r="D11" s="13" t="s">
        <v>33</v>
      </c>
      <c r="E11" s="26">
        <v>46025</v>
      </c>
      <c r="F11" s="56">
        <v>32600</v>
      </c>
      <c r="G11" s="23">
        <v>1650</v>
      </c>
      <c r="H11" s="23">
        <v>128</v>
      </c>
      <c r="I11" s="11" t="str">
        <f t="shared" si="0"/>
        <v>국내산</v>
      </c>
      <c r="J11" s="51">
        <f t="shared" si="1"/>
        <v>8</v>
      </c>
    </row>
    <row r="12" spans="2:10" ht="14.25" thickBot="1" x14ac:dyDescent="0.35">
      <c r="B12" s="14" t="s">
        <v>18</v>
      </c>
      <c r="C12" s="15" t="s">
        <v>27</v>
      </c>
      <c r="D12" s="15" t="s">
        <v>29</v>
      </c>
      <c r="E12" s="27">
        <v>46038</v>
      </c>
      <c r="F12" s="57">
        <v>32900</v>
      </c>
      <c r="G12" s="24">
        <v>2458</v>
      </c>
      <c r="H12" s="24">
        <v>198</v>
      </c>
      <c r="I12" s="11" t="str">
        <f t="shared" si="0"/>
        <v/>
      </c>
      <c r="J12" s="51">
        <f t="shared" si="1"/>
        <v>6</v>
      </c>
    </row>
    <row r="13" spans="2:10" x14ac:dyDescent="0.3">
      <c r="B13" s="5" t="s">
        <v>34</v>
      </c>
      <c r="C13" s="6"/>
      <c r="D13" s="6"/>
      <c r="E13" s="7">
        <f>DSUM(B4:H12,H4,D4:D5)</f>
        <v>759</v>
      </c>
      <c r="F13" s="28"/>
      <c r="G13" s="6" t="s">
        <v>36</v>
      </c>
      <c r="H13" s="6"/>
      <c r="I13" s="6"/>
      <c r="J13" s="18">
        <f>ROUND(DAVERAGE(B4:H12,F4,D4:D5),-3)</f>
        <v>31000</v>
      </c>
    </row>
    <row r="14" spans="2:10" ht="14.25" thickBot="1" x14ac:dyDescent="0.35">
      <c r="B14" s="2" t="s">
        <v>35</v>
      </c>
      <c r="C14" s="3"/>
      <c r="D14" s="3"/>
      <c r="E14" s="4">
        <f>COUNTIF(D5:D12,"과일차")</f>
        <v>3</v>
      </c>
      <c r="F14" s="29"/>
      <c r="G14" s="19" t="s">
        <v>1</v>
      </c>
      <c r="H14" s="20" t="s">
        <v>19</v>
      </c>
      <c r="I14" s="19" t="s">
        <v>6</v>
      </c>
      <c r="J14" s="21">
        <f>VLOOKUP(H14,C4:H12,4,FALSE)</f>
        <v>32500</v>
      </c>
    </row>
  </sheetData>
  <mergeCells count="4">
    <mergeCell ref="B14:D14"/>
    <mergeCell ref="B13:D13"/>
    <mergeCell ref="F13:F14"/>
    <mergeCell ref="G13:I13"/>
  </mergeCells>
  <phoneticPr fontId="2" type="noConversion"/>
  <conditionalFormatting sqref="B5:J12">
    <cfRule type="expression" dxfId="26" priority="1">
      <formula>$H5&gt;=300</formula>
    </cfRule>
  </conditionalFormatting>
  <dataValidations disablePrompts="1" count="1">
    <dataValidation type="list" allowBlank="1" showInputMessage="1" showErrorMessage="1" sqref="H14" xr:uid="{4125F6F8-D8C8-4CA4-A2C6-6CD9356ABD7D}">
      <formula1>$C$5:$C$12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6ACF-DE04-4272-BF01-26C1AF42291E}">
  <dimension ref="B1:H25"/>
  <sheetViews>
    <sheetView workbookViewId="0">
      <selection activeCell="I14" sqref="I14"/>
    </sheetView>
  </sheetViews>
  <sheetFormatPr defaultRowHeight="16.5" x14ac:dyDescent="0.3"/>
  <cols>
    <col min="1" max="1" width="1.625" customWidth="1"/>
    <col min="2" max="2" width="10.75" customWidth="1"/>
    <col min="3" max="3" width="13.75" bestFit="1" customWidth="1"/>
    <col min="4" max="4" width="13.375" customWidth="1"/>
    <col min="5" max="5" width="13.25" bestFit="1" customWidth="1"/>
    <col min="7" max="7" width="12.5" customWidth="1"/>
  </cols>
  <sheetData>
    <row r="1" spans="2:8" ht="17.25" thickBot="1" x14ac:dyDescent="0.35"/>
    <row r="2" spans="2:8" ht="27.75" thickBot="1" x14ac:dyDescent="0.35">
      <c r="B2" s="8" t="s">
        <v>0</v>
      </c>
      <c r="C2" s="9" t="s">
        <v>1</v>
      </c>
      <c r="D2" s="9" t="s">
        <v>3</v>
      </c>
      <c r="E2" s="9" t="s">
        <v>4</v>
      </c>
      <c r="F2" s="9" t="s">
        <v>6</v>
      </c>
      <c r="G2" s="16" t="s">
        <v>7</v>
      </c>
      <c r="H2" s="42" t="s">
        <v>8</v>
      </c>
    </row>
    <row r="3" spans="2:8" x14ac:dyDescent="0.3">
      <c r="B3" s="10" t="s">
        <v>11</v>
      </c>
      <c r="C3" s="11" t="s">
        <v>20</v>
      </c>
      <c r="D3" s="11" t="s">
        <v>29</v>
      </c>
      <c r="E3" s="25">
        <v>46031</v>
      </c>
      <c r="F3" s="22">
        <v>32500</v>
      </c>
      <c r="G3" s="22">
        <v>1354</v>
      </c>
      <c r="H3" s="43">
        <v>325</v>
      </c>
    </row>
    <row r="4" spans="2:8" x14ac:dyDescent="0.3">
      <c r="B4" s="12" t="s">
        <v>12</v>
      </c>
      <c r="C4" s="13" t="s">
        <v>21</v>
      </c>
      <c r="D4" s="13" t="s">
        <v>31</v>
      </c>
      <c r="E4" s="26">
        <v>46037</v>
      </c>
      <c r="F4" s="23">
        <v>31500</v>
      </c>
      <c r="G4" s="23">
        <v>2563</v>
      </c>
      <c r="H4" s="44">
        <v>165</v>
      </c>
    </row>
    <row r="5" spans="2:8" x14ac:dyDescent="0.3">
      <c r="B5" s="12" t="s">
        <v>13</v>
      </c>
      <c r="C5" s="13" t="s">
        <v>22</v>
      </c>
      <c r="D5" s="13" t="s">
        <v>29</v>
      </c>
      <c r="E5" s="26">
        <v>46045</v>
      </c>
      <c r="F5" s="23">
        <v>26800</v>
      </c>
      <c r="G5" s="23">
        <v>1224</v>
      </c>
      <c r="H5" s="44">
        <v>236</v>
      </c>
    </row>
    <row r="6" spans="2:8" x14ac:dyDescent="0.3">
      <c r="B6" s="12" t="s">
        <v>14</v>
      </c>
      <c r="C6" s="13" t="s">
        <v>23</v>
      </c>
      <c r="D6" s="13" t="s">
        <v>33</v>
      </c>
      <c r="E6" s="26">
        <v>46029</v>
      </c>
      <c r="F6" s="23">
        <v>53400</v>
      </c>
      <c r="G6" s="23">
        <v>1599</v>
      </c>
      <c r="H6" s="44">
        <v>247</v>
      </c>
    </row>
    <row r="7" spans="2:8" x14ac:dyDescent="0.3">
      <c r="B7" s="12" t="s">
        <v>15</v>
      </c>
      <c r="C7" s="13" t="s">
        <v>24</v>
      </c>
      <c r="D7" s="13" t="s">
        <v>31</v>
      </c>
      <c r="E7" s="26">
        <v>46039</v>
      </c>
      <c r="F7" s="23">
        <v>47500</v>
      </c>
      <c r="G7" s="23">
        <v>3255</v>
      </c>
      <c r="H7" s="44">
        <v>325</v>
      </c>
    </row>
    <row r="8" spans="2:8" x14ac:dyDescent="0.3">
      <c r="B8" s="12" t="s">
        <v>16</v>
      </c>
      <c r="C8" s="13" t="s">
        <v>25</v>
      </c>
      <c r="D8" s="13" t="s">
        <v>31</v>
      </c>
      <c r="E8" s="26">
        <v>46050</v>
      </c>
      <c r="F8" s="23">
        <v>34000</v>
      </c>
      <c r="G8" s="23">
        <v>1960</v>
      </c>
      <c r="H8" s="44">
        <v>315</v>
      </c>
    </row>
    <row r="9" spans="2:8" x14ac:dyDescent="0.3">
      <c r="B9" s="12" t="s">
        <v>17</v>
      </c>
      <c r="C9" s="13" t="s">
        <v>26</v>
      </c>
      <c r="D9" s="13" t="s">
        <v>33</v>
      </c>
      <c r="E9" s="26">
        <v>46025</v>
      </c>
      <c r="F9" s="23">
        <v>32600</v>
      </c>
      <c r="G9" s="23">
        <v>1650</v>
      </c>
      <c r="H9" s="44">
        <v>128</v>
      </c>
    </row>
    <row r="10" spans="2:8" ht="17.25" thickBot="1" x14ac:dyDescent="0.35">
      <c r="B10" s="45" t="s">
        <v>18</v>
      </c>
      <c r="C10" s="20" t="s">
        <v>27</v>
      </c>
      <c r="D10" s="20" t="s">
        <v>29</v>
      </c>
      <c r="E10" s="46">
        <v>46038</v>
      </c>
      <c r="F10" s="47">
        <v>32900</v>
      </c>
      <c r="G10" s="47">
        <v>2458</v>
      </c>
      <c r="H10" s="48">
        <v>198</v>
      </c>
    </row>
    <row r="14" spans="2:8" x14ac:dyDescent="0.3">
      <c r="B14" s="37" t="s">
        <v>3</v>
      </c>
      <c r="C14" s="37" t="s">
        <v>6</v>
      </c>
    </row>
    <row r="15" spans="2:8" x14ac:dyDescent="0.3">
      <c r="B15" s="38" t="s">
        <v>37</v>
      </c>
      <c r="C15" s="38"/>
    </row>
    <row r="16" spans="2:8" x14ac:dyDescent="0.3">
      <c r="B16" s="38"/>
      <c r="C16" s="38" t="s">
        <v>38</v>
      </c>
    </row>
    <row r="18" spans="2:5" ht="27" x14ac:dyDescent="0.3">
      <c r="B18" s="30" t="s">
        <v>0</v>
      </c>
      <c r="C18" s="39" t="s">
        <v>6</v>
      </c>
      <c r="D18" s="40" t="s">
        <v>7</v>
      </c>
      <c r="E18" s="41" t="s">
        <v>8</v>
      </c>
    </row>
    <row r="19" spans="2:5" x14ac:dyDescent="0.3">
      <c r="B19" s="31" t="s">
        <v>11</v>
      </c>
      <c r="C19" s="32">
        <v>32500</v>
      </c>
      <c r="D19" s="32">
        <v>1354</v>
      </c>
      <c r="E19" s="33">
        <v>325</v>
      </c>
    </row>
    <row r="20" spans="2:5" x14ac:dyDescent="0.3">
      <c r="B20" s="31" t="s">
        <v>12</v>
      </c>
      <c r="C20" s="32">
        <v>31500</v>
      </c>
      <c r="D20" s="32">
        <v>2563</v>
      </c>
      <c r="E20" s="33">
        <v>165</v>
      </c>
    </row>
    <row r="21" spans="2:5" x14ac:dyDescent="0.3">
      <c r="B21" s="31" t="s">
        <v>13</v>
      </c>
      <c r="C21" s="32">
        <v>26800</v>
      </c>
      <c r="D21" s="32">
        <v>1224</v>
      </c>
      <c r="E21" s="33">
        <v>236</v>
      </c>
    </row>
    <row r="22" spans="2:5" x14ac:dyDescent="0.3">
      <c r="B22" s="31" t="s">
        <v>14</v>
      </c>
      <c r="C22" s="32">
        <v>53400</v>
      </c>
      <c r="D22" s="32">
        <v>1599</v>
      </c>
      <c r="E22" s="33">
        <v>247</v>
      </c>
    </row>
    <row r="23" spans="2:5" x14ac:dyDescent="0.3">
      <c r="B23" s="31" t="s">
        <v>16</v>
      </c>
      <c r="C23" s="32">
        <v>34000</v>
      </c>
      <c r="D23" s="32">
        <v>1960</v>
      </c>
      <c r="E23" s="33">
        <v>315</v>
      </c>
    </row>
    <row r="24" spans="2:5" x14ac:dyDescent="0.3">
      <c r="B24" s="31" t="s">
        <v>17</v>
      </c>
      <c r="C24" s="32">
        <v>32600</v>
      </c>
      <c r="D24" s="32">
        <v>1650</v>
      </c>
      <c r="E24" s="33">
        <v>128</v>
      </c>
    </row>
    <row r="25" spans="2:5" x14ac:dyDescent="0.3">
      <c r="B25" s="34" t="s">
        <v>18</v>
      </c>
      <c r="C25" s="35">
        <v>32900</v>
      </c>
      <c r="D25" s="35">
        <v>2458</v>
      </c>
      <c r="E25" s="36">
        <v>198</v>
      </c>
    </row>
  </sheetData>
  <phoneticPr fontId="2" type="noConversion"/>
  <conditionalFormatting sqref="B3:H10">
    <cfRule type="expression" dxfId="25" priority="1">
      <formula>$H3&gt;=300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3ADC-E32D-49F2-A8DE-B17DF9F84BEB}">
  <dimension ref="A3:G9"/>
  <sheetViews>
    <sheetView workbookViewId="0">
      <selection activeCell="C16" sqref="C16"/>
    </sheetView>
  </sheetViews>
  <sheetFormatPr defaultRowHeight="16.5" x14ac:dyDescent="0.3"/>
  <cols>
    <col min="1" max="1" width="12.5" bestFit="1" customWidth="1"/>
    <col min="2" max="2" width="13.125" bestFit="1" customWidth="1"/>
    <col min="3" max="3" width="15.25" bestFit="1" customWidth="1"/>
    <col min="4" max="4" width="13.125" bestFit="1" customWidth="1"/>
    <col min="5" max="5" width="15.25" bestFit="1" customWidth="1"/>
    <col min="6" max="6" width="13.125" bestFit="1" customWidth="1"/>
    <col min="7" max="7" width="15.25" bestFit="1" customWidth="1"/>
    <col min="8" max="8" width="9.875" bestFit="1" customWidth="1"/>
    <col min="9" max="9" width="9.5" bestFit="1" customWidth="1"/>
    <col min="10" max="11" width="6.75" bestFit="1" customWidth="1"/>
    <col min="12" max="12" width="11.875" bestFit="1" customWidth="1"/>
    <col min="13" max="16" width="25.5" bestFit="1" customWidth="1"/>
    <col min="17" max="17" width="30.375" bestFit="1" customWidth="1"/>
    <col min="18" max="18" width="20.125" bestFit="1" customWidth="1"/>
  </cols>
  <sheetData>
    <row r="3" spans="1:7" x14ac:dyDescent="0.3">
      <c r="A3" s="53"/>
      <c r="B3" s="54" t="s">
        <v>2</v>
      </c>
      <c r="C3" s="53"/>
      <c r="D3" s="53"/>
      <c r="E3" s="53"/>
      <c r="F3" s="53"/>
      <c r="G3" s="53"/>
    </row>
    <row r="4" spans="1:7" x14ac:dyDescent="0.3">
      <c r="A4" s="53"/>
      <c r="B4" s="53" t="s">
        <v>28</v>
      </c>
      <c r="C4" s="53"/>
      <c r="D4" s="53" t="s">
        <v>32</v>
      </c>
      <c r="E4" s="53"/>
      <c r="F4" s="53" t="s">
        <v>30</v>
      </c>
      <c r="G4" s="53"/>
    </row>
    <row r="5" spans="1:7" x14ac:dyDescent="0.3">
      <c r="A5" s="54" t="s">
        <v>5</v>
      </c>
      <c r="B5" s="53" t="s">
        <v>40</v>
      </c>
      <c r="C5" s="53" t="s">
        <v>44</v>
      </c>
      <c r="D5" s="53" t="s">
        <v>40</v>
      </c>
      <c r="E5" s="53" t="s">
        <v>44</v>
      </c>
      <c r="F5" s="53" t="s">
        <v>40</v>
      </c>
      <c r="G5" s="53" t="s">
        <v>44</v>
      </c>
    </row>
    <row r="6" spans="1:7" x14ac:dyDescent="0.3">
      <c r="A6" s="49" t="s">
        <v>41</v>
      </c>
      <c r="B6" s="50">
        <v>1</v>
      </c>
      <c r="C6" s="50">
        <v>1224</v>
      </c>
      <c r="D6" s="52" t="s">
        <v>45</v>
      </c>
      <c r="E6" s="52" t="s">
        <v>45</v>
      </c>
      <c r="F6" s="52" t="s">
        <v>45</v>
      </c>
      <c r="G6" s="52" t="s">
        <v>45</v>
      </c>
    </row>
    <row r="7" spans="1:7" x14ac:dyDescent="0.3">
      <c r="A7" s="49" t="s">
        <v>42</v>
      </c>
      <c r="B7" s="50">
        <v>2</v>
      </c>
      <c r="C7" s="50">
        <v>1906</v>
      </c>
      <c r="D7" s="50">
        <v>1</v>
      </c>
      <c r="E7" s="50">
        <v>1650</v>
      </c>
      <c r="F7" s="50">
        <v>2</v>
      </c>
      <c r="G7" s="50">
        <v>2261.5</v>
      </c>
    </row>
    <row r="8" spans="1:7" x14ac:dyDescent="0.3">
      <c r="A8" s="49" t="s">
        <v>43</v>
      </c>
      <c r="B8" s="52" t="s">
        <v>45</v>
      </c>
      <c r="C8" s="52" t="s">
        <v>45</v>
      </c>
      <c r="D8" s="50">
        <v>1</v>
      </c>
      <c r="E8" s="50">
        <v>1599</v>
      </c>
      <c r="F8" s="50">
        <v>1</v>
      </c>
      <c r="G8" s="50">
        <v>3255</v>
      </c>
    </row>
    <row r="9" spans="1:7" x14ac:dyDescent="0.3">
      <c r="A9" s="49" t="s">
        <v>39</v>
      </c>
      <c r="B9" s="50">
        <v>3</v>
      </c>
      <c r="C9" s="50">
        <v>1678.6666666666667</v>
      </c>
      <c r="D9" s="50">
        <v>2</v>
      </c>
      <c r="E9" s="50">
        <v>1624.5</v>
      </c>
      <c r="F9" s="50">
        <v>3</v>
      </c>
      <c r="G9" s="50">
        <v>2592.6666666666665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3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제1작업</vt:lpstr>
      <vt:lpstr>제2작업</vt:lpstr>
      <vt:lpstr>제3작업</vt:lpstr>
      <vt:lpstr>제4작업</vt:lpstr>
      <vt:lpstr>제2작업!Criteria</vt:lpstr>
      <vt:lpstr>제2작업!Extract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2026-05-20T01:05:41Z</dcterms:created>
  <dcterms:modified xsi:type="dcterms:W3CDTF">2026-05-20T01:47:31Z</dcterms:modified>
</cp:coreProperties>
</file>