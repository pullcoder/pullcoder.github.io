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3F1AC0-A3A9-4BA2-93B9-C4CD649820A6}" xr6:coauthVersionLast="47" xr6:coauthVersionMax="47" xr10:uidLastSave="{00000000-0000-0000-0000-000000000000}"/>
  <bookViews>
    <workbookView xWindow="-120" yWindow="-120" windowWidth="29040" windowHeight="15720" activeTab="3" xr2:uid="{2FBD335A-DF9D-414B-8037-4C54B5B9A6EA}"/>
  </bookViews>
  <sheets>
    <sheet name="제1작업" sheetId="1" r:id="rId1"/>
    <sheet name="제2작업" sheetId="2" r:id="rId2"/>
    <sheet name="제3작업" sheetId="3" r:id="rId3"/>
    <sheet name="제4작업" sheetId="4" r:id="rId4"/>
  </sheets>
  <definedNames>
    <definedName name="_xlnm._FilterDatabase" localSheetId="1" hidden="1">제2작업!$B$2:$I$6</definedName>
    <definedName name="_xlnm.Criteria" localSheetId="1">제2작업!$B$13:$C$15</definedName>
    <definedName name="_xlnm.Extract" localSheetId="1">제2작업!$B$17:$I$17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F10" i="3"/>
  <c r="F7" i="3"/>
  <c r="F4" i="3"/>
  <c r="F15" i="3" s="1"/>
  <c r="I12" i="3"/>
  <c r="I14" i="3" s="1"/>
  <c r="I6" i="3"/>
  <c r="I8" i="3" s="1"/>
  <c r="I9" i="3"/>
  <c r="I11" i="3" s="1"/>
  <c r="I3" i="3"/>
  <c r="H12" i="3"/>
  <c r="H6" i="3"/>
  <c r="H9" i="3"/>
  <c r="H3" i="3"/>
  <c r="D10" i="2"/>
  <c r="D9" i="2"/>
  <c r="I4" i="2"/>
  <c r="I5" i="2"/>
  <c r="I6" i="2"/>
  <c r="I3" i="2"/>
  <c r="D8" i="2" s="1"/>
  <c r="H6" i="2"/>
  <c r="H5" i="2"/>
  <c r="H4" i="2"/>
  <c r="H3" i="2"/>
  <c r="H10" i="1"/>
  <c r="I6" i="1"/>
  <c r="I7" i="1"/>
  <c r="I8" i="1"/>
  <c r="I5" i="1"/>
  <c r="H6" i="1"/>
  <c r="H7" i="1"/>
  <c r="H8" i="1"/>
  <c r="H5" i="1"/>
  <c r="I16" i="3" l="1"/>
  <c r="I5" i="3"/>
</calcChain>
</file>

<file path=xl/sharedStrings.xml><?xml version="1.0" encoding="utf-8"?>
<sst xmlns="http://schemas.openxmlformats.org/spreadsheetml/2006/main" count="113" uniqueCount="42">
  <si>
    <t>제품코드</t>
    <phoneticPr fontId="2" type="noConversion"/>
  </si>
  <si>
    <t>모델명</t>
    <phoneticPr fontId="2" type="noConversion"/>
  </si>
  <si>
    <t>구매자</t>
    <phoneticPr fontId="2" type="noConversion"/>
  </si>
  <si>
    <t>종류</t>
    <phoneticPr fontId="2" type="noConversion"/>
  </si>
  <si>
    <t>판매가격</t>
    <phoneticPr fontId="2" type="noConversion"/>
  </si>
  <si>
    <t>판매수량</t>
    <phoneticPr fontId="2" type="noConversion"/>
  </si>
  <si>
    <t>판매경로</t>
    <phoneticPr fontId="2" type="noConversion"/>
  </si>
  <si>
    <t>판매순위</t>
    <phoneticPr fontId="2" type="noConversion"/>
  </si>
  <si>
    <t>D-1</t>
    <phoneticPr fontId="2" type="noConversion"/>
  </si>
  <si>
    <t>D-3</t>
    <phoneticPr fontId="2" type="noConversion"/>
  </si>
  <si>
    <t>D-2</t>
    <phoneticPr fontId="2" type="noConversion"/>
  </si>
  <si>
    <t>싼타페</t>
  </si>
  <si>
    <t>싼타페</t>
    <phoneticPr fontId="2" type="noConversion"/>
  </si>
  <si>
    <t>아반테</t>
    <phoneticPr fontId="2" type="noConversion"/>
  </si>
  <si>
    <t>쏘렌토</t>
    <phoneticPr fontId="2" type="noConversion"/>
  </si>
  <si>
    <t>아이오닉</t>
    <phoneticPr fontId="2" type="noConversion"/>
  </si>
  <si>
    <t>홍길동</t>
    <phoneticPr fontId="2" type="noConversion"/>
  </si>
  <si>
    <t>박길동</t>
    <phoneticPr fontId="2" type="noConversion"/>
  </si>
  <si>
    <t>이길동</t>
    <phoneticPr fontId="2" type="noConversion"/>
  </si>
  <si>
    <t>안길동</t>
    <phoneticPr fontId="2" type="noConversion"/>
  </si>
  <si>
    <t>SUV</t>
    <phoneticPr fontId="2" type="noConversion"/>
  </si>
  <si>
    <t>일반차</t>
    <phoneticPr fontId="2" type="noConversion"/>
  </si>
  <si>
    <t>전기차</t>
    <phoneticPr fontId="2" type="noConversion"/>
  </si>
  <si>
    <t>SUV 자동차 판매가격의 평균</t>
    <phoneticPr fontId="2" type="noConversion"/>
  </si>
  <si>
    <t>홍길동의 판매순위</t>
    <phoneticPr fontId="2" type="noConversion"/>
  </si>
  <si>
    <t>판매가격이 두번째로 높은 가격</t>
    <phoneticPr fontId="2" type="noConversion"/>
  </si>
  <si>
    <t>종류가 SUV 차량의 판매가격의 평균</t>
    <phoneticPr fontId="2" type="noConversion"/>
  </si>
  <si>
    <t>목표값</t>
    <phoneticPr fontId="2" type="noConversion"/>
  </si>
  <si>
    <t>고급필터조건범위</t>
    <phoneticPr fontId="2" type="noConversion"/>
  </si>
  <si>
    <t>고급필터결과위치</t>
    <phoneticPr fontId="2" type="noConversion"/>
  </si>
  <si>
    <t>&gt;=4000000000</t>
    <phoneticPr fontId="2" type="noConversion"/>
  </si>
  <si>
    <t>온라인</t>
  </si>
  <si>
    <t>오프라인</t>
  </si>
  <si>
    <t>전체 평균</t>
  </si>
  <si>
    <t>D-1 평균</t>
  </si>
  <si>
    <t>D-2 평균</t>
  </si>
  <si>
    <t>D-3 평균</t>
  </si>
  <si>
    <t>싼타페 개수</t>
  </si>
  <si>
    <t>쏘렌토 개수</t>
  </si>
  <si>
    <t>아반테 개수</t>
  </si>
  <si>
    <t>아이오닉 개수</t>
  </si>
  <si>
    <t>전체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</si>
</sst>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31"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자동차 판매현황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제1작업!$F$4</c:f>
              <c:strCache>
                <c:ptCount val="1"/>
                <c:pt idx="0">
                  <c:v>판매가격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제1작업!$C$5:$C$8</c:f>
              <c:strCache>
                <c:ptCount val="4"/>
                <c:pt idx="0">
                  <c:v>싼타페</c:v>
                </c:pt>
                <c:pt idx="1">
                  <c:v>아반테</c:v>
                </c:pt>
                <c:pt idx="2">
                  <c:v>쏘렌토</c:v>
                </c:pt>
                <c:pt idx="3">
                  <c:v>아이오닉</c:v>
                </c:pt>
              </c:strCache>
            </c:strRef>
          </c:cat>
          <c:val>
            <c:numRef>
              <c:f>제1작업!$F$5:$F$8</c:f>
              <c:numCache>
                <c:formatCode>#,##0"원"</c:formatCode>
                <c:ptCount val="4"/>
                <c:pt idx="0">
                  <c:v>40000000</c:v>
                </c:pt>
                <c:pt idx="1">
                  <c:v>18000000</c:v>
                </c:pt>
                <c:pt idx="2">
                  <c:v>38000000</c:v>
                </c:pt>
                <c:pt idx="3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F-41E4-9168-AB8BE498B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323392"/>
        <c:axId val="1745323808"/>
      </c:barChart>
      <c:lineChart>
        <c:grouping val="standard"/>
        <c:varyColors val="0"/>
        <c:ser>
          <c:idx val="1"/>
          <c:order val="1"/>
          <c:tx>
            <c:strRef>
              <c:f>제1작업!$G$4</c:f>
              <c:strCache>
                <c:ptCount val="1"/>
                <c:pt idx="0">
                  <c:v>판매수량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제1작업!$C$5:$C$8</c:f>
              <c:strCache>
                <c:ptCount val="4"/>
                <c:pt idx="0">
                  <c:v>싼타페</c:v>
                </c:pt>
                <c:pt idx="1">
                  <c:v>아반테</c:v>
                </c:pt>
                <c:pt idx="2">
                  <c:v>쏘렌토</c:v>
                </c:pt>
                <c:pt idx="3">
                  <c:v>아이오닉</c:v>
                </c:pt>
              </c:strCache>
            </c:strRef>
          </c:cat>
          <c:val>
            <c:numRef>
              <c:f>제1작업!$G$5:$G$8</c:f>
              <c:numCache>
                <c:formatCode>General</c:formatCode>
                <c:ptCount val="4"/>
                <c:pt idx="0">
                  <c:v>400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F-41E4-9168-AB8BE498B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488784"/>
        <c:axId val="1910989120"/>
      </c:lineChart>
      <c:catAx>
        <c:axId val="17453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5323808"/>
        <c:crosses val="autoZero"/>
        <c:auto val="1"/>
        <c:lblAlgn val="ctr"/>
        <c:lblOffset val="100"/>
        <c:noMultiLvlLbl val="0"/>
      </c:catAx>
      <c:valAx>
        <c:axId val="17453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원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5323392"/>
        <c:crosses val="autoZero"/>
        <c:crossBetween val="between"/>
      </c:valAx>
      <c:valAx>
        <c:axId val="1910989120"/>
        <c:scaling>
          <c:orientation val="minMax"/>
        </c:scaling>
        <c:delete val="0"/>
        <c:axPos val="r"/>
        <c:numFmt formatCode="General&quot;원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8488784"/>
        <c:crosses val="max"/>
        <c:crossBetween val="between"/>
      </c:valAx>
      <c:catAx>
        <c:axId val="190848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09891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336D15-2671-4758-9D5B-CF55EA10C6F0}">
  <sheetPr/>
  <sheetViews>
    <sheetView tabSelected="1"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95250</xdr:rowOff>
    </xdr:from>
    <xdr:to>
      <xdr:col>5</xdr:col>
      <xdr:colOff>695325</xdr:colOff>
      <xdr:row>2</xdr:row>
      <xdr:rowOff>142875</xdr:rowOff>
    </xdr:to>
    <xdr:sp macro="" textlink="">
      <xdr:nvSpPr>
        <xdr:cNvPr id="3" name="배지 2">
          <a:extLst>
            <a:ext uri="{FF2B5EF4-FFF2-40B4-BE49-F238E27FC236}">
              <a16:creationId xmlns:a16="http://schemas.microsoft.com/office/drawing/2014/main" id="{B0766087-B99B-4C7A-BCC2-0B70EBAECF66}"/>
            </a:ext>
          </a:extLst>
        </xdr:cNvPr>
        <xdr:cNvSpPr/>
      </xdr:nvSpPr>
      <xdr:spPr>
        <a:xfrm>
          <a:off x="762000" y="95250"/>
          <a:ext cx="3362325" cy="676275"/>
        </a:xfrm>
        <a:prstGeom prst="plaque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chemeClr val="tx1"/>
              </a:solidFill>
            </a:rPr>
            <a:t>자동차 판매현황</a:t>
          </a:r>
        </a:p>
      </xdr:txBody>
    </xdr:sp>
    <xdr:clientData/>
  </xdr:twoCellAnchor>
  <xdr:twoCellAnchor editAs="oneCell">
    <xdr:from>
      <xdr:col>5</xdr:col>
      <xdr:colOff>752475</xdr:colOff>
      <xdr:row>0</xdr:row>
      <xdr:rowOff>76200</xdr:rowOff>
    </xdr:from>
    <xdr:to>
      <xdr:col>9</xdr:col>
      <xdr:colOff>207480</xdr:colOff>
      <xdr:row>2</xdr:row>
      <xdr:rowOff>294967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D12CFE1-DD6E-4F43-971D-9C34283BA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475" y="76200"/>
          <a:ext cx="2493480" cy="847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92DF5D9-EC9C-40BA-B611-752E47F0A1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AD72-56B1-4967-A234-1DEEEDABD177}">
  <dimension ref="B1:I10"/>
  <sheetViews>
    <sheetView workbookViewId="0">
      <selection activeCell="H18" sqref="H18"/>
    </sheetView>
  </sheetViews>
  <sheetFormatPr defaultRowHeight="16.5" x14ac:dyDescent="0.3"/>
  <cols>
    <col min="6" max="6" width="12.375" bestFit="1" customWidth="1"/>
    <col min="8" max="8" width="9.5" bestFit="1" customWidth="1"/>
  </cols>
  <sheetData>
    <row r="1" spans="2:9" ht="24.95" customHeight="1" x14ac:dyDescent="0.3"/>
    <row r="2" spans="2:9" ht="24.95" customHeight="1" x14ac:dyDescent="0.3"/>
    <row r="3" spans="2:9" ht="24.95" customHeight="1" x14ac:dyDescent="0.3"/>
    <row r="4" spans="2:9" x14ac:dyDescent="0.3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</row>
    <row r="5" spans="2:9" x14ac:dyDescent="0.3">
      <c r="B5" s="4" t="s">
        <v>8</v>
      </c>
      <c r="C5" s="4" t="s">
        <v>12</v>
      </c>
      <c r="D5" s="4" t="s">
        <v>16</v>
      </c>
      <c r="E5" s="4" t="s">
        <v>20</v>
      </c>
      <c r="F5" s="5">
        <v>40000000</v>
      </c>
      <c r="G5" s="4">
        <v>400</v>
      </c>
      <c r="H5" s="4" t="str">
        <f>IF(RIGHT(B5,1)="1","온라인",IF(RIGHT(B5,1)="2","오프라인","도매"))</f>
        <v>온라인</v>
      </c>
      <c r="I5" s="4">
        <f>_xlfn.RANK.EQ(G5,$G$5:$G$8)</f>
        <v>2</v>
      </c>
    </row>
    <row r="6" spans="2:9" x14ac:dyDescent="0.3">
      <c r="B6" s="4" t="s">
        <v>9</v>
      </c>
      <c r="C6" s="4" t="s">
        <v>13</v>
      </c>
      <c r="D6" s="4" t="s">
        <v>17</v>
      </c>
      <c r="E6" s="4" t="s">
        <v>21</v>
      </c>
      <c r="F6" s="5">
        <v>18000000</v>
      </c>
      <c r="G6" s="4">
        <v>100</v>
      </c>
      <c r="H6" s="4" t="str">
        <f t="shared" ref="H6:H8" si="0">IF(RIGHT(B6,1)="1","온라인",IF(RIGHT(B6,1)="2","오프라인","도매"))</f>
        <v>도매</v>
      </c>
      <c r="I6" s="4">
        <f t="shared" ref="I6:I8" si="1">_xlfn.RANK.EQ(G6,$G$5:$G$8)</f>
        <v>4</v>
      </c>
    </row>
    <row r="7" spans="2:9" x14ac:dyDescent="0.3">
      <c r="B7" s="4" t="s">
        <v>10</v>
      </c>
      <c r="C7" s="4" t="s">
        <v>14</v>
      </c>
      <c r="D7" s="4" t="s">
        <v>18</v>
      </c>
      <c r="E7" s="4" t="s">
        <v>20</v>
      </c>
      <c r="F7" s="5">
        <v>38000000</v>
      </c>
      <c r="G7" s="4">
        <v>200</v>
      </c>
      <c r="H7" s="4" t="str">
        <f t="shared" si="0"/>
        <v>오프라인</v>
      </c>
      <c r="I7" s="4">
        <f t="shared" si="1"/>
        <v>3</v>
      </c>
    </row>
    <row r="8" spans="2:9" x14ac:dyDescent="0.3">
      <c r="B8" s="4" t="s">
        <v>9</v>
      </c>
      <c r="C8" s="4" t="s">
        <v>15</v>
      </c>
      <c r="D8" s="4" t="s">
        <v>19</v>
      </c>
      <c r="E8" s="4" t="s">
        <v>22</v>
      </c>
      <c r="F8" s="5">
        <v>20000000</v>
      </c>
      <c r="G8" s="4">
        <v>500</v>
      </c>
      <c r="H8" s="4" t="str">
        <f t="shared" si="0"/>
        <v>도매</v>
      </c>
      <c r="I8" s="4">
        <f t="shared" si="1"/>
        <v>1</v>
      </c>
    </row>
    <row r="10" spans="2:9" x14ac:dyDescent="0.3">
      <c r="C10" t="s">
        <v>1</v>
      </c>
      <c r="D10" t="s">
        <v>11</v>
      </c>
      <c r="E10" s="2" t="s">
        <v>23</v>
      </c>
      <c r="F10" s="2"/>
      <c r="G10" s="2"/>
      <c r="H10">
        <f ca="1">SUMIF(E4:F8,"SUV",F4) / COUNTIF(E5:E8,"SUV")</f>
        <v>39000000</v>
      </c>
    </row>
  </sheetData>
  <mergeCells count="1">
    <mergeCell ref="E10:G10"/>
  </mergeCells>
  <phoneticPr fontId="2" type="noConversion"/>
  <dataValidations count="1">
    <dataValidation type="list" allowBlank="1" showInputMessage="1" showErrorMessage="1" sqref="D10" xr:uid="{B94AAF7A-8401-4A71-B66A-44C836EF91D2}">
      <formula1>$C$5:$C$8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7CF2-2F16-4B79-AFE5-5F751F10ACA2}">
  <dimension ref="B2:I19"/>
  <sheetViews>
    <sheetView workbookViewId="0">
      <selection activeCell="E13" sqref="E13"/>
    </sheetView>
  </sheetViews>
  <sheetFormatPr defaultRowHeight="16.5" x14ac:dyDescent="0.3"/>
  <cols>
    <col min="2" max="2" width="12.125" customWidth="1"/>
    <col min="3" max="3" width="20.75" customWidth="1"/>
    <col min="4" max="4" width="9.5" bestFit="1" customWidth="1"/>
    <col min="6" max="6" width="12.375" bestFit="1" customWidth="1"/>
  </cols>
  <sheetData>
    <row r="2" spans="2:9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x14ac:dyDescent="0.3">
      <c r="B3" s="4" t="s">
        <v>8</v>
      </c>
      <c r="C3" s="4" t="s">
        <v>12</v>
      </c>
      <c r="D3" s="4" t="s">
        <v>16</v>
      </c>
      <c r="E3" s="4" t="s">
        <v>20</v>
      </c>
      <c r="F3" s="5">
        <v>62000000</v>
      </c>
      <c r="G3" s="4">
        <v>400</v>
      </c>
      <c r="H3" s="4" t="str">
        <f>IF(RIGHT(B3,1)="1","온라인",IF(RIGHT(B3,1)="2","오프라인","도매"))</f>
        <v>온라인</v>
      </c>
      <c r="I3" s="4">
        <f>_xlfn.RANK.EQ(G3,$G$3:$G$6)</f>
        <v>2</v>
      </c>
    </row>
    <row r="4" spans="2:9" x14ac:dyDescent="0.3">
      <c r="B4" s="4" t="s">
        <v>9</v>
      </c>
      <c r="C4" s="4" t="s">
        <v>13</v>
      </c>
      <c r="D4" s="4" t="s">
        <v>17</v>
      </c>
      <c r="E4" s="4" t="s">
        <v>21</v>
      </c>
      <c r="F4" s="5">
        <v>18000000</v>
      </c>
      <c r="G4" s="4">
        <v>100</v>
      </c>
      <c r="H4" s="4" t="str">
        <f t="shared" ref="H4:H6" si="0">IF(RIGHT(B4,1)="1","온라인",IF(RIGHT(B4,1)="2","오프라인","도매"))</f>
        <v>도매</v>
      </c>
      <c r="I4" s="4">
        <f t="shared" ref="I4:I6" si="1">_xlfn.RANK.EQ(G4,$G$3:$G$6)</f>
        <v>4</v>
      </c>
    </row>
    <row r="5" spans="2:9" x14ac:dyDescent="0.3">
      <c r="B5" s="4" t="s">
        <v>10</v>
      </c>
      <c r="C5" s="4" t="s">
        <v>14</v>
      </c>
      <c r="D5" s="4" t="s">
        <v>18</v>
      </c>
      <c r="E5" s="4" t="s">
        <v>20</v>
      </c>
      <c r="F5" s="5">
        <v>38000000</v>
      </c>
      <c r="G5" s="4">
        <v>200</v>
      </c>
      <c r="H5" s="4" t="str">
        <f t="shared" si="0"/>
        <v>오프라인</v>
      </c>
      <c r="I5" s="4">
        <f t="shared" si="1"/>
        <v>3</v>
      </c>
    </row>
    <row r="6" spans="2:9" x14ac:dyDescent="0.3">
      <c r="B6" s="4" t="s">
        <v>9</v>
      </c>
      <c r="C6" s="4" t="s">
        <v>15</v>
      </c>
      <c r="D6" s="4" t="s">
        <v>19</v>
      </c>
      <c r="E6" s="4" t="s">
        <v>22</v>
      </c>
      <c r="F6" s="5">
        <v>20000000</v>
      </c>
      <c r="G6" s="4">
        <v>500</v>
      </c>
      <c r="H6" s="4" t="str">
        <f t="shared" si="0"/>
        <v>도매</v>
      </c>
      <c r="I6" s="4">
        <f t="shared" si="1"/>
        <v>1</v>
      </c>
    </row>
    <row r="8" spans="2:9" x14ac:dyDescent="0.3">
      <c r="B8" s="2" t="s">
        <v>24</v>
      </c>
      <c r="C8" s="2"/>
      <c r="D8">
        <f>VLOOKUP(D3,D2:I6,6,FALSE)</f>
        <v>2</v>
      </c>
    </row>
    <row r="9" spans="2:9" x14ac:dyDescent="0.3">
      <c r="B9" s="2" t="s">
        <v>25</v>
      </c>
      <c r="C9" s="2"/>
      <c r="D9">
        <f>LARGE(F3:F6,2)</f>
        <v>38000000</v>
      </c>
    </row>
    <row r="10" spans="2:9" x14ac:dyDescent="0.3">
      <c r="B10" s="2" t="s">
        <v>26</v>
      </c>
      <c r="C10" s="2"/>
      <c r="D10">
        <f>DAVERAGE(E2:F6,F2,E2:E3)</f>
        <v>50000000</v>
      </c>
    </row>
    <row r="11" spans="2:9" x14ac:dyDescent="0.3">
      <c r="B11" s="2" t="s">
        <v>27</v>
      </c>
      <c r="C11" s="2"/>
    </row>
    <row r="12" spans="2:9" x14ac:dyDescent="0.3">
      <c r="B12" s="2" t="s">
        <v>28</v>
      </c>
      <c r="C12" s="2"/>
    </row>
    <row r="13" spans="2:9" x14ac:dyDescent="0.3">
      <c r="B13" t="s">
        <v>3</v>
      </c>
      <c r="C13" t="s">
        <v>4</v>
      </c>
    </row>
    <row r="14" spans="2:9" x14ac:dyDescent="0.3">
      <c r="B14" t="s">
        <v>20</v>
      </c>
    </row>
    <row r="15" spans="2:9" x14ac:dyDescent="0.3">
      <c r="C15" t="s">
        <v>30</v>
      </c>
    </row>
    <row r="16" spans="2:9" x14ac:dyDescent="0.3">
      <c r="B16" s="2" t="s">
        <v>29</v>
      </c>
      <c r="C16" s="2"/>
    </row>
    <row r="17" spans="2:9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</row>
    <row r="18" spans="2:9" x14ac:dyDescent="0.3">
      <c r="B18" t="s">
        <v>8</v>
      </c>
      <c r="C18" t="s">
        <v>12</v>
      </c>
      <c r="D18" t="s">
        <v>16</v>
      </c>
      <c r="E18" t="s">
        <v>20</v>
      </c>
      <c r="F18" s="1">
        <v>62000000</v>
      </c>
      <c r="G18">
        <v>400</v>
      </c>
      <c r="H18" t="s">
        <v>31</v>
      </c>
      <c r="I18">
        <v>2</v>
      </c>
    </row>
    <row r="19" spans="2:9" x14ac:dyDescent="0.3">
      <c r="B19" t="s">
        <v>10</v>
      </c>
      <c r="C19" t="s">
        <v>14</v>
      </c>
      <c r="D19" t="s">
        <v>18</v>
      </c>
      <c r="E19" t="s">
        <v>20</v>
      </c>
      <c r="F19" s="1">
        <v>38000000</v>
      </c>
      <c r="G19">
        <v>200</v>
      </c>
      <c r="H19" t="s">
        <v>32</v>
      </c>
      <c r="I19">
        <v>3</v>
      </c>
    </row>
  </sheetData>
  <mergeCells count="6">
    <mergeCell ref="B16:C16"/>
    <mergeCell ref="B12:C12"/>
    <mergeCell ref="B11:C11"/>
    <mergeCell ref="B10:C10"/>
    <mergeCell ref="B9:C9"/>
    <mergeCell ref="B8:C8"/>
  </mergeCells>
  <phoneticPr fontId="2" type="noConversion"/>
  <conditionalFormatting sqref="B2:I6">
    <cfRule type="expression" dxfId="30" priority="6">
      <formula>$F3:$F6/$G3:$G6&gt;=1000000</formula>
    </cfRule>
  </conditionalFormatting>
  <conditionalFormatting sqref="B13">
    <cfRule type="expression" dxfId="29" priority="5">
      <formula>$F14:$F18/$G14:$G18&gt;=1000000</formula>
    </cfRule>
  </conditionalFormatting>
  <conditionalFormatting sqref="B14:B15">
    <cfRule type="expression" dxfId="28" priority="4">
      <formula>$F16:$F19/$G16:$G19&gt;=1000000</formula>
    </cfRule>
  </conditionalFormatting>
  <conditionalFormatting sqref="C13">
    <cfRule type="expression" dxfId="27" priority="3">
      <formula>$F14:$F18/$G14:$G18&gt;=1000000</formula>
    </cfRule>
  </conditionalFormatting>
  <conditionalFormatting sqref="B17:I17">
    <cfRule type="expression" dxfId="26" priority="1">
      <formula>$F18:$F21/$G18:$G21&gt;=1000000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D552-ACF1-45D9-95DD-26991C133C21}">
  <dimension ref="B2:I25"/>
  <sheetViews>
    <sheetView topLeftCell="A4" workbookViewId="0">
      <selection activeCell="B35" sqref="B35:B36"/>
    </sheetView>
  </sheetViews>
  <sheetFormatPr defaultRowHeight="16.5" x14ac:dyDescent="0.3"/>
  <cols>
    <col min="2" max="2" width="9.875" bestFit="1" customWidth="1"/>
    <col min="3" max="3" width="14" bestFit="1" customWidth="1"/>
    <col min="6" max="6" width="12.375" bestFit="1" customWidth="1"/>
  </cols>
  <sheetData>
    <row r="2" spans="2:9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x14ac:dyDescent="0.3">
      <c r="B3" s="4" t="s">
        <v>8</v>
      </c>
      <c r="C3" s="4" t="s">
        <v>12</v>
      </c>
      <c r="D3" s="4" t="s">
        <v>16</v>
      </c>
      <c r="E3" s="4" t="s">
        <v>20</v>
      </c>
      <c r="F3" s="5">
        <v>40000000</v>
      </c>
      <c r="G3" s="4">
        <v>400</v>
      </c>
      <c r="H3" s="4" t="str">
        <f>IF(RIGHT(B3,1)="1","온라인",IF(RIGHT(B3,1)="2","오프라인","도매"))</f>
        <v>온라인</v>
      </c>
      <c r="I3" s="4">
        <f>_xlfn.RANK.EQ(G3,$G$3:$G$12)</f>
        <v>2</v>
      </c>
    </row>
    <row r="4" spans="2:9" x14ac:dyDescent="0.3">
      <c r="B4" s="6" t="s">
        <v>34</v>
      </c>
      <c r="C4" s="4"/>
      <c r="D4" s="4"/>
      <c r="E4" s="4"/>
      <c r="F4" s="5">
        <f>SUBTOTAL(1,F3:F3)</f>
        <v>40000000</v>
      </c>
      <c r="G4" s="4"/>
      <c r="H4" s="4"/>
      <c r="I4" s="4"/>
    </row>
    <row r="5" spans="2:9" x14ac:dyDescent="0.3">
      <c r="B5" s="4"/>
      <c r="C5" s="6" t="s">
        <v>37</v>
      </c>
      <c r="D5" s="4"/>
      <c r="E5" s="4"/>
      <c r="F5" s="5"/>
      <c r="G5" s="4"/>
      <c r="H5" s="4"/>
      <c r="I5" s="4">
        <f>SUBTOTAL(3,I3:I3)</f>
        <v>1</v>
      </c>
    </row>
    <row r="6" spans="2:9" x14ac:dyDescent="0.3">
      <c r="B6" s="4" t="s">
        <v>10</v>
      </c>
      <c r="C6" s="4" t="s">
        <v>14</v>
      </c>
      <c r="D6" s="4" t="s">
        <v>18</v>
      </c>
      <c r="E6" s="4" t="s">
        <v>20</v>
      </c>
      <c r="F6" s="5">
        <v>38000000</v>
      </c>
      <c r="G6" s="4">
        <v>200</v>
      </c>
      <c r="H6" s="4" t="str">
        <f>IF(RIGHT(B6,1)="1","온라인",IF(RIGHT(B6,1)="2","오프라인","도매"))</f>
        <v>오프라인</v>
      </c>
      <c r="I6" s="4">
        <f>_xlfn.RANK.EQ(G6,$G$3:$G$12)</f>
        <v>3</v>
      </c>
    </row>
    <row r="7" spans="2:9" x14ac:dyDescent="0.3">
      <c r="B7" s="6" t="s">
        <v>35</v>
      </c>
      <c r="C7" s="4"/>
      <c r="D7" s="4"/>
      <c r="E7" s="4"/>
      <c r="F7" s="5">
        <f>SUBTOTAL(1,F6:F6)</f>
        <v>38000000</v>
      </c>
      <c r="G7" s="4"/>
      <c r="H7" s="4"/>
      <c r="I7" s="4"/>
    </row>
    <row r="8" spans="2:9" x14ac:dyDescent="0.3">
      <c r="B8" s="4"/>
      <c r="C8" s="6" t="s">
        <v>38</v>
      </c>
      <c r="D8" s="4"/>
      <c r="E8" s="4"/>
      <c r="F8" s="5"/>
      <c r="G8" s="4"/>
      <c r="H8" s="4"/>
      <c r="I8" s="4">
        <f>SUBTOTAL(3,I6:I6)</f>
        <v>1</v>
      </c>
    </row>
    <row r="9" spans="2:9" x14ac:dyDescent="0.3">
      <c r="B9" s="4" t="s">
        <v>9</v>
      </c>
      <c r="C9" s="4" t="s">
        <v>13</v>
      </c>
      <c r="D9" s="4" t="s">
        <v>17</v>
      </c>
      <c r="E9" s="4" t="s">
        <v>21</v>
      </c>
      <c r="F9" s="5">
        <v>18000000</v>
      </c>
      <c r="G9" s="4">
        <v>100</v>
      </c>
      <c r="H9" s="4" t="str">
        <f>IF(RIGHT(B9,1)="1","온라인",IF(RIGHT(B9,1)="2","오프라인","도매"))</f>
        <v>도매</v>
      </c>
      <c r="I9" s="4">
        <f>_xlfn.RANK.EQ(G9,$G$3:$G$12)</f>
        <v>4</v>
      </c>
    </row>
    <row r="10" spans="2:9" x14ac:dyDescent="0.3">
      <c r="B10" s="6" t="s">
        <v>36</v>
      </c>
      <c r="C10" s="4"/>
      <c r="D10" s="4"/>
      <c r="E10" s="4"/>
      <c r="F10" s="5">
        <f>SUBTOTAL(1,F9:F9)</f>
        <v>18000000</v>
      </c>
      <c r="G10" s="4"/>
      <c r="H10" s="4"/>
      <c r="I10" s="4"/>
    </row>
    <row r="11" spans="2:9" x14ac:dyDescent="0.3">
      <c r="B11" s="4"/>
      <c r="C11" s="6" t="s">
        <v>39</v>
      </c>
      <c r="D11" s="4"/>
      <c r="E11" s="4"/>
      <c r="F11" s="5"/>
      <c r="G11" s="4"/>
      <c r="H11" s="4"/>
      <c r="I11" s="4">
        <f>SUBTOTAL(3,I9:I9)</f>
        <v>1</v>
      </c>
    </row>
    <row r="12" spans="2:9" x14ac:dyDescent="0.3">
      <c r="B12" s="4" t="s">
        <v>9</v>
      </c>
      <c r="C12" s="4" t="s">
        <v>15</v>
      </c>
      <c r="D12" s="4" t="s">
        <v>19</v>
      </c>
      <c r="E12" s="4" t="s">
        <v>22</v>
      </c>
      <c r="F12" s="5">
        <v>20000000</v>
      </c>
      <c r="G12" s="4">
        <v>500</v>
      </c>
      <c r="H12" s="4" t="str">
        <f>IF(RIGHT(B12,1)="1","온라인",IF(RIGHT(B12,1)="2","오프라인","도매"))</f>
        <v>도매</v>
      </c>
      <c r="I12" s="4">
        <f>_xlfn.RANK.EQ(G12,$G$3:$G$12)</f>
        <v>1</v>
      </c>
    </row>
    <row r="13" spans="2:9" x14ac:dyDescent="0.3">
      <c r="B13" s="6" t="s">
        <v>36</v>
      </c>
      <c r="C13" s="4"/>
      <c r="D13" s="4"/>
      <c r="E13" s="4"/>
      <c r="F13" s="5">
        <f>SUBTOTAL(1,F12:F12)</f>
        <v>20000000</v>
      </c>
      <c r="G13" s="4"/>
      <c r="H13" s="4"/>
      <c r="I13" s="4"/>
    </row>
    <row r="14" spans="2:9" x14ac:dyDescent="0.3">
      <c r="B14" s="4"/>
      <c r="C14" s="6" t="s">
        <v>40</v>
      </c>
      <c r="D14" s="4"/>
      <c r="E14" s="4"/>
      <c r="F14" s="5"/>
      <c r="G14" s="4"/>
      <c r="H14" s="4"/>
      <c r="I14" s="4">
        <f>SUBTOTAL(3,I12:I12)</f>
        <v>1</v>
      </c>
    </row>
    <row r="15" spans="2:9" x14ac:dyDescent="0.3">
      <c r="B15" s="6" t="s">
        <v>33</v>
      </c>
      <c r="C15" s="6"/>
      <c r="D15" s="4"/>
      <c r="E15" s="4"/>
      <c r="F15" s="5">
        <f>SUBTOTAL(1,F3:F12)</f>
        <v>29000000</v>
      </c>
      <c r="G15" s="4"/>
      <c r="H15" s="4"/>
      <c r="I15" s="4"/>
    </row>
    <row r="16" spans="2:9" x14ac:dyDescent="0.3">
      <c r="B16" s="4"/>
      <c r="C16" s="6" t="s">
        <v>41</v>
      </c>
      <c r="D16" s="4"/>
      <c r="E16" s="4"/>
      <c r="F16" s="5"/>
      <c r="G16" s="4"/>
      <c r="H16" s="4"/>
      <c r="I16" s="4">
        <f>SUBTOTAL(3,I3:I12)</f>
        <v>4</v>
      </c>
    </row>
    <row r="17" spans="2:6" x14ac:dyDescent="0.3">
      <c r="C17" s="3"/>
      <c r="F17" s="1"/>
    </row>
    <row r="18" spans="2:6" x14ac:dyDescent="0.3">
      <c r="B18" s="3"/>
      <c r="F18" s="1"/>
    </row>
    <row r="19" spans="2:6" x14ac:dyDescent="0.3">
      <c r="F19" s="1"/>
    </row>
    <row r="20" spans="2:6" x14ac:dyDescent="0.3">
      <c r="C20" s="3"/>
      <c r="F20" s="1"/>
    </row>
    <row r="21" spans="2:6" x14ac:dyDescent="0.3">
      <c r="F21" s="1"/>
    </row>
    <row r="22" spans="2:6" x14ac:dyDescent="0.3">
      <c r="C22" s="3"/>
      <c r="F22" s="1"/>
    </row>
    <row r="23" spans="2:6" x14ac:dyDescent="0.3">
      <c r="B23" s="3"/>
      <c r="F23" s="1"/>
    </row>
    <row r="24" spans="2:6" x14ac:dyDescent="0.3">
      <c r="B24" s="3"/>
      <c r="C24" s="3"/>
      <c r="F24" s="1"/>
    </row>
    <row r="25" spans="2:6" x14ac:dyDescent="0.3">
      <c r="B25" s="3"/>
      <c r="F25" s="1"/>
    </row>
  </sheetData>
  <sortState xmlns:xlrd2="http://schemas.microsoft.com/office/spreadsheetml/2017/richdata2" ref="B3:I12">
    <sortCondition ref="C2:C12"/>
  </sortState>
  <phoneticPr fontId="2" type="noConversion"/>
  <conditionalFormatting sqref="B2:I2">
    <cfRule type="expression" dxfId="25" priority="3">
      <formula>$F3:$F21/$G3:$G21&gt;=1000000</formula>
    </cfRule>
  </conditionalFormatting>
  <conditionalFormatting sqref="B25:I25 I16">
    <cfRule type="expression" dxfId="24" priority="8">
      <formula>$F19:$F22/$G19:$G22&gt;=1000000</formula>
    </cfRule>
  </conditionalFormatting>
  <conditionalFormatting sqref="B11:H11">
    <cfRule type="expression" dxfId="23" priority="12">
      <formula>$F20:$F28/$G20:$G28&gt;=1000000</formula>
    </cfRule>
  </conditionalFormatting>
  <conditionalFormatting sqref="B18:I18 I9">
    <cfRule type="expression" dxfId="22" priority="16">
      <formula>$F12:$F19/$G12:$G19&gt;=1000000</formula>
    </cfRule>
  </conditionalFormatting>
  <conditionalFormatting sqref="B8:H8">
    <cfRule type="expression" dxfId="21" priority="18">
      <formula>$F19:$F28/$G19:$G28&gt;=1000000</formula>
    </cfRule>
  </conditionalFormatting>
  <conditionalFormatting sqref="B16:H16">
    <cfRule type="expression" dxfId="20" priority="20">
      <formula>$F21:$F29/$G21:$G29&gt;=1000000</formula>
    </cfRule>
  </conditionalFormatting>
  <conditionalFormatting sqref="B17:I17">
    <cfRule type="expression" dxfId="19" priority="21">
      <formula>$F21:$F28/$G21:$G28&gt;=1000000</formula>
    </cfRule>
  </conditionalFormatting>
  <conditionalFormatting sqref="B21:I22 I12:I13">
    <cfRule type="expression" dxfId="18" priority="22">
      <formula>$F17:$F20/$G17:$G20&gt;=1000000</formula>
    </cfRule>
  </conditionalFormatting>
  <conditionalFormatting sqref="B19:I19">
    <cfRule type="expression" dxfId="17" priority="24">
      <formula>$F21:$F28/$G21:$G28&gt;=1000000</formula>
    </cfRule>
  </conditionalFormatting>
  <conditionalFormatting sqref="B20:I20">
    <cfRule type="expression" dxfId="16" priority="25">
      <formula>$F23:$F29/$G23:$G29&gt;=1000000</formula>
    </cfRule>
  </conditionalFormatting>
  <conditionalFormatting sqref="B23:I24 I14:I15">
    <cfRule type="expression" dxfId="15" priority="26">
      <formula>$F18:$F21/$G18:$G21&gt;=1000000</formula>
    </cfRule>
  </conditionalFormatting>
  <conditionalFormatting sqref="I5">
    <cfRule type="expression" dxfId="14" priority="31">
      <formula>$F9:$F18/$G9:$G18&gt;=1000000</formula>
    </cfRule>
  </conditionalFormatting>
  <conditionalFormatting sqref="I8">
    <cfRule type="expression" dxfId="13" priority="35">
      <formula>$F12:$F19/$G12:$G19&gt;=1000000</formula>
    </cfRule>
  </conditionalFormatting>
  <conditionalFormatting sqref="B5:H5">
    <cfRule type="expression" dxfId="12" priority="37">
      <formula>$F17:$F27/$G17:$G27&gt;=1000000</formula>
    </cfRule>
  </conditionalFormatting>
  <conditionalFormatting sqref="B6:H7">
    <cfRule type="expression" dxfId="11" priority="39">
      <formula>$F18:$F27/$G18:$G27&gt;=1000000</formula>
    </cfRule>
  </conditionalFormatting>
  <conditionalFormatting sqref="I3">
    <cfRule type="expression" dxfId="10" priority="41">
      <formula>$F6:$F17/$G6:$G17&gt;=1000000</formula>
    </cfRule>
  </conditionalFormatting>
  <conditionalFormatting sqref="B9:H10">
    <cfRule type="expression" dxfId="9" priority="42">
      <formula>$F19:$F27/$G19:$G27&gt;=1000000</formula>
    </cfRule>
  </conditionalFormatting>
  <conditionalFormatting sqref="I4">
    <cfRule type="expression" dxfId="8" priority="44">
      <formula>$F8:$F18/$G8:$G18&gt;=1000000</formula>
    </cfRule>
  </conditionalFormatting>
  <conditionalFormatting sqref="I7">
    <cfRule type="expression" dxfId="7" priority="46">
      <formula>$F11:$F19/$G11:$G19&gt;=1000000</formula>
    </cfRule>
  </conditionalFormatting>
  <conditionalFormatting sqref="I6">
    <cfRule type="expression" dxfId="6" priority="47">
      <formula>$F9:$F18/$G9:$G18&gt;=1000000</formula>
    </cfRule>
  </conditionalFormatting>
  <conditionalFormatting sqref="B12:H13">
    <cfRule type="expression" dxfId="5" priority="48">
      <formula>$F19:$F27/$G19:$G27&gt;=1000000</formula>
    </cfRule>
  </conditionalFormatting>
  <conditionalFormatting sqref="B3:H3">
    <cfRule type="expression" dxfId="4" priority="53">
      <formula>$F12:$F26/$G12:$G26&gt;=1000000</formula>
    </cfRule>
  </conditionalFormatting>
  <conditionalFormatting sqref="B4:H4">
    <cfRule type="expression" dxfId="3" priority="54">
      <formula>$F14:$F27/$G14:$G27&gt;=1000000</formula>
    </cfRule>
  </conditionalFormatting>
  <conditionalFormatting sqref="I10">
    <cfRule type="expression" dxfId="2" priority="56">
      <formula>$F14:$F20/$G14:$G20&gt;=1000000</formula>
    </cfRule>
  </conditionalFormatting>
  <conditionalFormatting sqref="B14:H15">
    <cfRule type="expression" dxfId="1" priority="59">
      <formula>$F20:$F28/$G20:$G28&gt;=1000000</formula>
    </cfRule>
  </conditionalFormatting>
  <conditionalFormatting sqref="I11">
    <cfRule type="expression" dxfId="0" priority="61">
      <formula>$F17:$F20/$G17:$G20&gt;=1000000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2026-05-12T04:45:33Z</dcterms:created>
  <dcterms:modified xsi:type="dcterms:W3CDTF">2026-05-12T05:18:31Z</dcterms:modified>
</cp:coreProperties>
</file>