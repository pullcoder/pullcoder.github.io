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여주대\화_오후_컴퓨터활용능력\Excel수업&amp;정리\"/>
    </mc:Choice>
  </mc:AlternateContent>
  <xr:revisionPtr revIDLastSave="0" documentId="13_ncr:1_{C64BF206-C282-40D8-BD23-42CC50C40F6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제1작업" sheetId="1" r:id="rId1"/>
    <sheet name="제2작업" sheetId="4" r:id="rId2"/>
    <sheet name="제3작업" sheetId="5" r:id="rId3"/>
    <sheet name="제4작업" sheetId="6" r:id="rId4"/>
  </sheets>
  <definedNames>
    <definedName name="_xlnm._FilterDatabase" localSheetId="1" hidden="1">제2작업!$B$2:$H$10</definedName>
    <definedName name="_xlnm.Criteria" localSheetId="1">제2작업!$B$13:$C$14</definedName>
    <definedName name="_xlnm.Extract" localSheetId="1">제2작업!$B$18:$E$18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5" l="1"/>
  <c r="H11" i="5"/>
  <c r="H5" i="5"/>
  <c r="H17" i="5" s="1"/>
  <c r="C16" i="5"/>
  <c r="C12" i="5"/>
  <c r="C6" i="5"/>
  <c r="C18" i="5" s="1"/>
  <c r="H11" i="4"/>
  <c r="E13" i="1"/>
  <c r="J14" i="1"/>
  <c r="J13" i="1"/>
  <c r="E14" i="1"/>
  <c r="I6" i="1"/>
  <c r="I7" i="1"/>
  <c r="I8" i="1"/>
  <c r="I9" i="1"/>
  <c r="I10" i="1"/>
  <c r="I11" i="1"/>
  <c r="I12" i="1"/>
  <c r="I5" i="1"/>
  <c r="J6" i="1"/>
  <c r="J7" i="1"/>
  <c r="J8" i="1"/>
  <c r="J9" i="1"/>
  <c r="J10" i="1"/>
  <c r="J11" i="1"/>
  <c r="J12" i="1"/>
  <c r="J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0F28D5-A8CD-4DD0-BA6F-811DD24EF760}" keepAlive="1" name="쿼리 - 표1" description="통합 문서의 '표1' 쿼리에 대한 연결입니다." type="5" refreshedVersion="0" background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<sst xmlns="http://schemas.openxmlformats.org/spreadsheetml/2006/main" count="148" uniqueCount="51">
  <si>
    <t>관리번호</t>
    <phoneticPr fontId="1" type="noConversion"/>
  </si>
  <si>
    <t>모델명</t>
    <phoneticPr fontId="1" type="noConversion"/>
  </si>
  <si>
    <t>구매자</t>
    <phoneticPr fontId="1" type="noConversion"/>
  </si>
  <si>
    <t>종류</t>
    <phoneticPr fontId="1" type="noConversion"/>
  </si>
  <si>
    <t>판매일자</t>
    <phoneticPr fontId="1" type="noConversion"/>
  </si>
  <si>
    <t>판매가격(원)</t>
    <phoneticPr fontId="1" type="noConversion"/>
  </si>
  <si>
    <t>판매수량</t>
    <phoneticPr fontId="1" type="noConversion"/>
  </si>
  <si>
    <t>판매경로</t>
    <phoneticPr fontId="1" type="noConversion"/>
  </si>
  <si>
    <t>판매순위</t>
    <phoneticPr fontId="1" type="noConversion"/>
  </si>
  <si>
    <t>D23-3</t>
    <phoneticPr fontId="1" type="noConversion"/>
  </si>
  <si>
    <t>D12-2</t>
    <phoneticPr fontId="1" type="noConversion"/>
  </si>
  <si>
    <t>D32-1</t>
    <phoneticPr fontId="1" type="noConversion"/>
  </si>
  <si>
    <t>D34-2</t>
    <phoneticPr fontId="1" type="noConversion"/>
  </si>
  <si>
    <t>D21-3</t>
    <phoneticPr fontId="1" type="noConversion"/>
  </si>
  <si>
    <t>D37-2</t>
    <phoneticPr fontId="1" type="noConversion"/>
  </si>
  <si>
    <t>D35-1</t>
    <phoneticPr fontId="1" type="noConversion"/>
  </si>
  <si>
    <t>D14-2</t>
    <phoneticPr fontId="1" type="noConversion"/>
  </si>
  <si>
    <t>매빅에어</t>
    <phoneticPr fontId="1" type="noConversion"/>
  </si>
  <si>
    <t>팬텀4</t>
    <phoneticPr fontId="1" type="noConversion"/>
  </si>
  <si>
    <t>패럿</t>
    <phoneticPr fontId="1" type="noConversion"/>
  </si>
  <si>
    <t>에어2S</t>
    <phoneticPr fontId="1" type="noConversion"/>
  </si>
  <si>
    <t>RCN3</t>
    <phoneticPr fontId="1" type="noConversion"/>
  </si>
  <si>
    <t>아그라스T30</t>
    <phoneticPr fontId="1" type="noConversion"/>
  </si>
  <si>
    <t>미니3</t>
    <phoneticPr fontId="1" type="noConversion"/>
  </si>
  <si>
    <t>타이푼H</t>
    <phoneticPr fontId="1" type="noConversion"/>
  </si>
  <si>
    <t>김지훈</t>
    <phoneticPr fontId="1" type="noConversion"/>
  </si>
  <si>
    <t>박정훈</t>
    <phoneticPr fontId="1" type="noConversion"/>
  </si>
  <si>
    <t>이경진</t>
    <phoneticPr fontId="1" type="noConversion"/>
  </si>
  <si>
    <t>장명수</t>
    <phoneticPr fontId="1" type="noConversion"/>
  </si>
  <si>
    <t>이기철</t>
    <phoneticPr fontId="1" type="noConversion"/>
  </si>
  <si>
    <t>손정빈</t>
    <phoneticPr fontId="1" type="noConversion"/>
  </si>
  <si>
    <t>홍기동</t>
    <phoneticPr fontId="1" type="noConversion"/>
  </si>
  <si>
    <t>정성진</t>
    <phoneticPr fontId="1" type="noConversion"/>
  </si>
  <si>
    <t>촬영용</t>
    <phoneticPr fontId="1" type="noConversion"/>
  </si>
  <si>
    <t>산업용</t>
    <phoneticPr fontId="1" type="noConversion"/>
  </si>
  <si>
    <t>취미용</t>
    <phoneticPr fontId="1" type="noConversion"/>
  </si>
  <si>
    <t>촬영용 드론 개수</t>
    <phoneticPr fontId="1" type="noConversion"/>
  </si>
  <si>
    <t>취미용 드론 판매가격(단위:원) 평균</t>
    <phoneticPr fontId="1" type="noConversion"/>
  </si>
  <si>
    <t>최대 판매수량</t>
    <phoneticPr fontId="1" type="noConversion"/>
  </si>
  <si>
    <t>판매가격
(단위:원)</t>
    <phoneticPr fontId="1" type="noConversion"/>
  </si>
  <si>
    <t>촬영용 드론 판매수량의 평균</t>
    <phoneticPr fontId="1" type="noConversion"/>
  </si>
  <si>
    <t>&lt;&gt;촬영용</t>
    <phoneticPr fontId="1" type="noConversion"/>
  </si>
  <si>
    <t>&gt;=1000000</t>
    <phoneticPr fontId="1" type="noConversion"/>
  </si>
  <si>
    <t>취미용 개수</t>
  </si>
  <si>
    <t>촬영용 개수</t>
  </si>
  <si>
    <t>산업용 개수</t>
  </si>
  <si>
    <t>전체 개수</t>
  </si>
  <si>
    <t>취미용 평균</t>
  </si>
  <si>
    <t>촬영용 평균</t>
  </si>
  <si>
    <t>산업용 평균</t>
  </si>
  <si>
    <t>전체 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</si>
</sst>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대&quot;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17" xfId="0" applyBorder="1"/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176" fontId="0" fillId="0" borderId="4" xfId="0" applyNumberFormat="1" applyBorder="1" applyAlignment="1">
      <alignment horizontal="center" vertical="center"/>
    </xf>
    <xf numFmtId="3" fontId="0" fillId="0" borderId="16" xfId="0" applyNumberFormat="1" applyBorder="1"/>
    <xf numFmtId="3" fontId="0" fillId="0" borderId="1" xfId="0" applyNumberFormat="1" applyBorder="1"/>
    <xf numFmtId="3" fontId="0" fillId="0" borderId="2" xfId="0" applyNumberFormat="1" applyBorder="1"/>
    <xf numFmtId="3" fontId="0" fillId="0" borderId="6" xfId="0" applyNumberFormat="1" applyBorder="1"/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16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176" fontId="0" fillId="0" borderId="2" xfId="0" applyNumberFormat="1" applyBorder="1" applyAlignment="1">
      <alignment horizontal="right"/>
    </xf>
    <xf numFmtId="3" fontId="0" fillId="0" borderId="10" xfId="0" applyNumberFormat="1" applyBorder="1" applyAlignment="1">
      <alignment vertical="center"/>
    </xf>
    <xf numFmtId="3" fontId="0" fillId="0" borderId="8" xfId="0" applyNumberForma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3" fontId="0" fillId="0" borderId="0" xfId="0" applyNumberFormat="1"/>
    <xf numFmtId="176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표준" xfId="0" builtinId="0"/>
  </cellStyles>
  <dxfs count="3"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r>
              <a:rPr lang="ko-KR" altLang="en-US" sz="2000" b="1">
                <a:latin typeface="굴림" panose="020B0600000101010101" pitchFamily="50" charset="-127"/>
                <a:ea typeface="굴림" panose="020B0600000101010101" pitchFamily="50" charset="-127"/>
              </a:rPr>
              <a:t>촬영용과 취미용 드론 판매현황</a:t>
            </a:r>
            <a:endParaRPr lang="en-US" altLang="ko-KR" sz="2000" b="1">
              <a:latin typeface="굴림" panose="020B0600000101010101" pitchFamily="50" charset="-127"/>
              <a:ea typeface="굴림" panose="020B0600000101010101" pitchFamily="50" charset="-127"/>
            </a:endParaRPr>
          </a:p>
        </c:rich>
      </c:tx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제1작업!$G$4</c:f>
              <c:strCache>
                <c:ptCount val="1"/>
                <c:pt idx="0">
                  <c:v>판매가격(원)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제1작업!$C$5:$C$12</c15:sqref>
                  </c15:fullRef>
                </c:ext>
              </c:extLst>
              <c:f>(제1작업!$C$5,제1작업!$C$7:$C$11)</c:f>
              <c:strCache>
                <c:ptCount val="6"/>
                <c:pt idx="0">
                  <c:v>매빅에어</c:v>
                </c:pt>
                <c:pt idx="1">
                  <c:v>패럿</c:v>
                </c:pt>
                <c:pt idx="2">
                  <c:v>에어2S</c:v>
                </c:pt>
                <c:pt idx="3">
                  <c:v>RCN3</c:v>
                </c:pt>
                <c:pt idx="4">
                  <c:v>아그라스T30</c:v>
                </c:pt>
                <c:pt idx="5">
                  <c:v>미니3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제1작업!$G$5:$G$12</c15:sqref>
                  </c15:fullRef>
                </c:ext>
              </c:extLst>
              <c:f>(제1작업!$G$5,제1작업!$G$7:$G$11)</c:f>
              <c:numCache>
                <c:formatCode>#,##0</c:formatCode>
                <c:ptCount val="6"/>
                <c:pt idx="0">
                  <c:v>1200000</c:v>
                </c:pt>
                <c:pt idx="1">
                  <c:v>900000</c:v>
                </c:pt>
                <c:pt idx="2">
                  <c:v>1500000</c:v>
                </c:pt>
                <c:pt idx="3">
                  <c:v>1100000</c:v>
                </c:pt>
                <c:pt idx="4">
                  <c:v>3500000</c:v>
                </c:pt>
                <c:pt idx="5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C-4300-A253-832AE630B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89930256"/>
        <c:axId val="789931216"/>
      </c:barChart>
      <c:lineChart>
        <c:grouping val="standard"/>
        <c:varyColors val="0"/>
        <c:ser>
          <c:idx val="1"/>
          <c:order val="1"/>
          <c:tx>
            <c:strRef>
              <c:f>제1작업!$H$4</c:f>
              <c:strCache>
                <c:ptCount val="1"/>
                <c:pt idx="0">
                  <c:v>판매수량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2.8694713319156431E-2"/>
                  <c:y val="-2.50825097717277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AC-4300-A253-832AE630BE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제1작업!$C$5:$C$12</c15:sqref>
                  </c15:fullRef>
                </c:ext>
              </c:extLst>
              <c:f>(제1작업!$C$5,제1작업!$C$7:$C$11)</c:f>
              <c:strCache>
                <c:ptCount val="6"/>
                <c:pt idx="0">
                  <c:v>매빅에어</c:v>
                </c:pt>
                <c:pt idx="1">
                  <c:v>패럿</c:v>
                </c:pt>
                <c:pt idx="2">
                  <c:v>에어2S</c:v>
                </c:pt>
                <c:pt idx="3">
                  <c:v>RCN3</c:v>
                </c:pt>
                <c:pt idx="4">
                  <c:v>아그라스T30</c:v>
                </c:pt>
                <c:pt idx="5">
                  <c:v>미니3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제1작업!$H$5:$H$12</c15:sqref>
                  </c15:fullRef>
                </c:ext>
              </c:extLst>
              <c:f>(제1작업!$H$5,제1작업!$H$7:$H$11)</c:f>
              <c:numCache>
                <c:formatCode>#,##0"대"</c:formatCode>
                <c:ptCount val="6"/>
                <c:pt idx="0">
                  <c:v>210</c:v>
                </c:pt>
                <c:pt idx="1">
                  <c:v>120</c:v>
                </c:pt>
                <c:pt idx="2">
                  <c:v>185</c:v>
                </c:pt>
                <c:pt idx="3">
                  <c:v>115</c:v>
                </c:pt>
                <c:pt idx="4">
                  <c:v>65</c:v>
                </c:pt>
                <c:pt idx="5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AC-4300-A253-832AE630B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984496"/>
        <c:axId val="789983536"/>
      </c:lineChart>
      <c:catAx>
        <c:axId val="78993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9931216"/>
        <c:crosses val="autoZero"/>
        <c:auto val="1"/>
        <c:lblAlgn val="ctr"/>
        <c:lblOffset val="100"/>
        <c:noMultiLvlLbl val="0"/>
      </c:catAx>
      <c:valAx>
        <c:axId val="7899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9930256"/>
        <c:crosses val="autoZero"/>
        <c:crossBetween val="between"/>
      </c:valAx>
      <c:valAx>
        <c:axId val="789983536"/>
        <c:scaling>
          <c:orientation val="minMax"/>
        </c:scaling>
        <c:delete val="0"/>
        <c:axPos val="r"/>
        <c:numFmt formatCode="#,##0&quot;대&quot;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9984496"/>
        <c:crosses val="max"/>
        <c:crossBetween val="between"/>
        <c:majorUnit val="100"/>
      </c:valAx>
      <c:catAx>
        <c:axId val="789984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9983536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92A801-BC9C-4B07-B144-3FB66F0045F3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0</xdr:row>
      <xdr:rowOff>161925</xdr:rowOff>
    </xdr:from>
    <xdr:to>
      <xdr:col>10</xdr:col>
      <xdr:colOff>28922</xdr:colOff>
      <xdr:row>2</xdr:row>
      <xdr:rowOff>304926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C27A5CB-0846-4945-B334-E1F698AF3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9825" y="161925"/>
          <a:ext cx="2486372" cy="905001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0</xdr:row>
      <xdr:rowOff>152400</xdr:rowOff>
    </xdr:from>
    <xdr:to>
      <xdr:col>7</xdr:col>
      <xdr:colOff>85725</xdr:colOff>
      <xdr:row>2</xdr:row>
      <xdr:rowOff>247650</xdr:rowOff>
    </xdr:to>
    <xdr:sp macro="" textlink="">
      <xdr:nvSpPr>
        <xdr:cNvPr id="4" name="배지 3">
          <a:extLst>
            <a:ext uri="{FF2B5EF4-FFF2-40B4-BE49-F238E27FC236}">
              <a16:creationId xmlns:a16="http://schemas.microsoft.com/office/drawing/2014/main" id="{2FAE986E-CD63-493C-99FC-F174E0AA1249}"/>
            </a:ext>
          </a:extLst>
        </xdr:cNvPr>
        <xdr:cNvSpPr/>
      </xdr:nvSpPr>
      <xdr:spPr>
        <a:xfrm>
          <a:off x="733425" y="152400"/>
          <a:ext cx="5286375" cy="857250"/>
        </a:xfrm>
        <a:prstGeom prst="plaque">
          <a:avLst/>
        </a:prstGeom>
        <a:solidFill>
          <a:srgbClr val="FFFF00"/>
        </a:solidFill>
        <a:ln>
          <a:solidFill>
            <a:schemeClr val="accent1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>
              <a:solidFill>
                <a:schemeClr val="tx1"/>
              </a:solidFill>
            </a:rPr>
            <a:t>상온 드론 판매 현황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E54CF68-83DE-107A-9A3A-2E3CCFCCE1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0.70097</cdr:x>
      <cdr:y>0.10974</cdr:y>
    </cdr:from>
    <cdr:to>
      <cdr:x>0.8342</cdr:x>
      <cdr:y>0.18812</cdr:y>
    </cdr:to>
    <cdr:sp macro="" textlink="">
      <cdr:nvSpPr>
        <cdr:cNvPr id="2" name="말풍선: 모서리가 둥근 사각형 1">
          <a:extLst xmlns:a="http://schemas.openxmlformats.org/drawingml/2006/main">
            <a:ext uri="{FF2B5EF4-FFF2-40B4-BE49-F238E27FC236}">
              <a16:creationId xmlns:a16="http://schemas.microsoft.com/office/drawing/2014/main" id="{15AAEC2A-4A81-B438-1D11-8DC8477E9500}"/>
            </a:ext>
          </a:extLst>
        </cdr:cNvPr>
        <cdr:cNvSpPr/>
      </cdr:nvSpPr>
      <cdr:spPr>
        <a:xfrm xmlns:a="http://schemas.openxmlformats.org/drawingml/2006/main">
          <a:off x="6515100" y="666750"/>
          <a:ext cx="1238250" cy="476250"/>
        </a:xfrm>
        <a:prstGeom xmlns:a="http://schemas.openxmlformats.org/drawingml/2006/main" prst="wedgeRoundRectCallout">
          <a:avLst>
            <a:gd name="adj1" fmla="val 62244"/>
            <a:gd name="adj2" fmla="val 92500"/>
            <a:gd name="adj3" fmla="val 16667"/>
          </a:avLst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ko-KR" altLang="en-US" kern="1200"/>
            <a:t>인기상품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zoomScaleNormal="100" workbookViewId="0">
      <selection activeCell="G4" activeCellId="1" sqref="C4:C12 G4:H12"/>
    </sheetView>
  </sheetViews>
  <sheetFormatPr defaultRowHeight="16.5" x14ac:dyDescent="0.3"/>
  <cols>
    <col min="3" max="3" width="15.125" customWidth="1"/>
    <col min="4" max="4" width="9" customWidth="1"/>
    <col min="5" max="5" width="9.25" bestFit="1" customWidth="1"/>
    <col min="6" max="6" width="13.625" customWidth="1"/>
    <col min="7" max="7" width="12.875" customWidth="1"/>
    <col min="8" max="9" width="12.625" customWidth="1"/>
    <col min="10" max="10" width="10.75" customWidth="1"/>
    <col min="13" max="13" width="9" customWidth="1"/>
  </cols>
  <sheetData>
    <row r="1" spans="2:10" ht="30" customHeight="1" x14ac:dyDescent="0.3"/>
    <row r="2" spans="2:10" ht="30" customHeight="1" x14ac:dyDescent="0.3"/>
    <row r="3" spans="2:10" ht="30" customHeight="1" thickBot="1" x14ac:dyDescent="0.35"/>
    <row r="4" spans="2:10" ht="17.25" thickBot="1" x14ac:dyDescent="0.35">
      <c r="B4" s="17" t="s">
        <v>0</v>
      </c>
      <c r="C4" s="18" t="s">
        <v>1</v>
      </c>
      <c r="D4" s="18" t="s">
        <v>2</v>
      </c>
      <c r="E4" s="18" t="s">
        <v>3</v>
      </c>
      <c r="F4" s="18" t="s">
        <v>4</v>
      </c>
      <c r="G4" s="18" t="s">
        <v>5</v>
      </c>
      <c r="H4" s="18" t="s">
        <v>6</v>
      </c>
      <c r="I4" s="18" t="s">
        <v>7</v>
      </c>
      <c r="J4" s="19" t="s">
        <v>8</v>
      </c>
    </row>
    <row r="5" spans="2:10" x14ac:dyDescent="0.3">
      <c r="B5" s="13" t="s">
        <v>11</v>
      </c>
      <c r="C5" s="25" t="s">
        <v>17</v>
      </c>
      <c r="D5" s="14" t="s">
        <v>25</v>
      </c>
      <c r="E5" s="14" t="s">
        <v>33</v>
      </c>
      <c r="F5" s="15">
        <v>45913</v>
      </c>
      <c r="G5" s="21">
        <v>1200000</v>
      </c>
      <c r="H5" s="27">
        <v>210</v>
      </c>
      <c r="I5" s="14" t="str">
        <f>IF(RIGHT(B5,1)="1","온라인",IF(RIGHT(B5,1)="2","오프라인",IF(RIGHT(B5,1)="3","도매","null")))</f>
        <v>온라인</v>
      </c>
      <c r="J5" s="16">
        <f>_xlfn.RANK.EQ(H5,$H$5:$H$12)</f>
        <v>2</v>
      </c>
    </row>
    <row r="6" spans="2:10" x14ac:dyDescent="0.3">
      <c r="B6" s="9" t="s">
        <v>10</v>
      </c>
      <c r="C6" s="3" t="s">
        <v>18</v>
      </c>
      <c r="D6" s="1" t="s">
        <v>26</v>
      </c>
      <c r="E6" s="1" t="s">
        <v>34</v>
      </c>
      <c r="F6" s="2">
        <v>45945</v>
      </c>
      <c r="G6" s="22">
        <v>2500000</v>
      </c>
      <c r="H6" s="28">
        <v>80</v>
      </c>
      <c r="I6" s="1" t="str">
        <f t="shared" ref="I6:I12" si="0">IF(RIGHT(B6,1)="1","온라인",IF(RIGHT(B6,1)="2","오프라인",IF(RIGHT(B6,1)="3","도매","null")))</f>
        <v>오프라인</v>
      </c>
      <c r="J6" s="10">
        <f t="shared" ref="J6:J12" si="1">_xlfn.RANK.EQ(H6,$H$5:$H$12)</f>
        <v>6</v>
      </c>
    </row>
    <row r="7" spans="2:10" x14ac:dyDescent="0.3">
      <c r="B7" s="9" t="s">
        <v>9</v>
      </c>
      <c r="C7" s="3" t="s">
        <v>19</v>
      </c>
      <c r="D7" s="1" t="s">
        <v>27</v>
      </c>
      <c r="E7" s="1" t="s">
        <v>35</v>
      </c>
      <c r="F7" s="2">
        <v>45934</v>
      </c>
      <c r="G7" s="22">
        <v>900000</v>
      </c>
      <c r="H7" s="28">
        <v>120</v>
      </c>
      <c r="I7" s="1" t="str">
        <f t="shared" si="0"/>
        <v>도매</v>
      </c>
      <c r="J7" s="10">
        <f t="shared" si="1"/>
        <v>4</v>
      </c>
    </row>
    <row r="8" spans="2:10" x14ac:dyDescent="0.3">
      <c r="B8" s="9" t="s">
        <v>12</v>
      </c>
      <c r="C8" s="3" t="s">
        <v>20</v>
      </c>
      <c r="D8" s="1" t="s">
        <v>28</v>
      </c>
      <c r="E8" s="1" t="s">
        <v>33</v>
      </c>
      <c r="F8" s="2">
        <v>45927</v>
      </c>
      <c r="G8" s="22">
        <v>1500000</v>
      </c>
      <c r="H8" s="28">
        <v>185</v>
      </c>
      <c r="I8" s="1" t="str">
        <f t="shared" si="0"/>
        <v>오프라인</v>
      </c>
      <c r="J8" s="10">
        <f t="shared" si="1"/>
        <v>3</v>
      </c>
    </row>
    <row r="9" spans="2:10" x14ac:dyDescent="0.3">
      <c r="B9" s="9" t="s">
        <v>13</v>
      </c>
      <c r="C9" s="3" t="s">
        <v>21</v>
      </c>
      <c r="D9" s="1" t="s">
        <v>29</v>
      </c>
      <c r="E9" s="1" t="s">
        <v>35</v>
      </c>
      <c r="F9" s="2">
        <v>45938</v>
      </c>
      <c r="G9" s="22">
        <v>1100000</v>
      </c>
      <c r="H9" s="28">
        <v>115</v>
      </c>
      <c r="I9" s="1" t="str">
        <f t="shared" si="0"/>
        <v>도매</v>
      </c>
      <c r="J9" s="10">
        <f t="shared" si="1"/>
        <v>5</v>
      </c>
    </row>
    <row r="10" spans="2:10" x14ac:dyDescent="0.3">
      <c r="B10" s="9" t="s">
        <v>14</v>
      </c>
      <c r="C10" s="3" t="s">
        <v>22</v>
      </c>
      <c r="D10" s="1" t="s">
        <v>30</v>
      </c>
      <c r="E10" s="1" t="s">
        <v>33</v>
      </c>
      <c r="F10" s="2">
        <v>45889</v>
      </c>
      <c r="G10" s="22">
        <v>3500000</v>
      </c>
      <c r="H10" s="28">
        <v>65</v>
      </c>
      <c r="I10" s="1" t="str">
        <f t="shared" si="0"/>
        <v>오프라인</v>
      </c>
      <c r="J10" s="10">
        <f t="shared" si="1"/>
        <v>7</v>
      </c>
    </row>
    <row r="11" spans="2:10" x14ac:dyDescent="0.3">
      <c r="B11" s="9" t="s">
        <v>15</v>
      </c>
      <c r="C11" s="3" t="s">
        <v>23</v>
      </c>
      <c r="D11" s="1" t="s">
        <v>31</v>
      </c>
      <c r="E11" s="1" t="s">
        <v>33</v>
      </c>
      <c r="F11" s="2">
        <v>45965</v>
      </c>
      <c r="G11" s="22">
        <v>800000</v>
      </c>
      <c r="H11" s="28">
        <v>240</v>
      </c>
      <c r="I11" s="1" t="str">
        <f t="shared" si="0"/>
        <v>온라인</v>
      </c>
      <c r="J11" s="10">
        <f t="shared" si="1"/>
        <v>1</v>
      </c>
    </row>
    <row r="12" spans="2:10" ht="17.25" thickBot="1" x14ac:dyDescent="0.35">
      <c r="B12" s="11" t="s">
        <v>16</v>
      </c>
      <c r="C12" s="26" t="s">
        <v>24</v>
      </c>
      <c r="D12" s="4" t="s">
        <v>32</v>
      </c>
      <c r="E12" s="4" t="s">
        <v>34</v>
      </c>
      <c r="F12" s="5">
        <v>45899</v>
      </c>
      <c r="G12" s="23">
        <v>2200000</v>
      </c>
      <c r="H12" s="29">
        <v>50</v>
      </c>
      <c r="I12" s="4" t="str">
        <f t="shared" si="0"/>
        <v>오프라인</v>
      </c>
      <c r="J12" s="12">
        <f t="shared" si="1"/>
        <v>8</v>
      </c>
    </row>
    <row r="13" spans="2:10" x14ac:dyDescent="0.3">
      <c r="B13" s="41" t="s">
        <v>36</v>
      </c>
      <c r="C13" s="42"/>
      <c r="D13" s="42"/>
      <c r="E13" s="20">
        <f>DCOUNTA(B4:J12,E4,E4:E5)</f>
        <v>4</v>
      </c>
      <c r="F13" s="45"/>
      <c r="G13" s="42" t="s">
        <v>38</v>
      </c>
      <c r="H13" s="42"/>
      <c r="I13" s="42"/>
      <c r="J13" s="24">
        <f>LARGE(G5:G12,1)</f>
        <v>3500000</v>
      </c>
    </row>
    <row r="14" spans="2:10" ht="33.75" thickBot="1" x14ac:dyDescent="0.35">
      <c r="B14" s="43" t="s">
        <v>37</v>
      </c>
      <c r="C14" s="44"/>
      <c r="D14" s="44"/>
      <c r="E14" s="31">
        <f>SUMIF(E5:E12, "취미용", G5:G12) / COUNTIF(E5:E12, "취미용")</f>
        <v>1000000</v>
      </c>
      <c r="F14" s="46"/>
      <c r="G14" s="7" t="s">
        <v>1</v>
      </c>
      <c r="H14" s="6" t="s">
        <v>17</v>
      </c>
      <c r="I14" s="8" t="s">
        <v>39</v>
      </c>
      <c r="J14" s="30">
        <f>VLOOKUP(H14, C5:G12, 5, 0)</f>
        <v>1200000</v>
      </c>
    </row>
  </sheetData>
  <mergeCells count="4">
    <mergeCell ref="B13:D13"/>
    <mergeCell ref="B14:D14"/>
    <mergeCell ref="F13:F14"/>
    <mergeCell ref="G13:I13"/>
  </mergeCells>
  <phoneticPr fontId="1" type="noConversion"/>
  <conditionalFormatting sqref="B5:J12">
    <cfRule type="expression" dxfId="2" priority="1">
      <formula>$G5&gt;1999999</formula>
    </cfRule>
  </conditionalFormatting>
  <pageMargins left="0.75" right="0.75" top="1" bottom="1" header="0.5" footer="0.5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EB97-9FA5-4011-8BF9-016CD9217933}">
  <dimension ref="B1:H21"/>
  <sheetViews>
    <sheetView topLeftCell="A3" workbookViewId="0">
      <selection activeCell="B36" sqref="B36"/>
    </sheetView>
  </sheetViews>
  <sheetFormatPr defaultRowHeight="16.5" x14ac:dyDescent="0.3"/>
  <cols>
    <col min="3" max="3" width="14.5" customWidth="1"/>
    <col min="6" max="6" width="12.5" customWidth="1"/>
    <col min="7" max="7" width="11.875" customWidth="1"/>
  </cols>
  <sheetData>
    <row r="1" spans="2:8" ht="17.25" thickBot="1" x14ac:dyDescent="0.35"/>
    <row r="2" spans="2:8" ht="17.25" thickBot="1" x14ac:dyDescent="0.35">
      <c r="B2" s="17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</row>
    <row r="3" spans="2:8" x14ac:dyDescent="0.3">
      <c r="B3" s="13" t="s">
        <v>11</v>
      </c>
      <c r="C3" s="25" t="s">
        <v>17</v>
      </c>
      <c r="D3" s="14" t="s">
        <v>25</v>
      </c>
      <c r="E3" s="14" t="s">
        <v>33</v>
      </c>
      <c r="F3" s="15">
        <v>45913</v>
      </c>
      <c r="G3" s="21">
        <v>1200000</v>
      </c>
      <c r="H3" s="27">
        <v>229.99999999999972</v>
      </c>
    </row>
    <row r="4" spans="2:8" x14ac:dyDescent="0.3">
      <c r="B4" s="9" t="s">
        <v>10</v>
      </c>
      <c r="C4" s="3" t="s">
        <v>18</v>
      </c>
      <c r="D4" s="1" t="s">
        <v>26</v>
      </c>
      <c r="E4" s="1" t="s">
        <v>34</v>
      </c>
      <c r="F4" s="2">
        <v>45945</v>
      </c>
      <c r="G4" s="22">
        <v>2500000</v>
      </c>
      <c r="H4" s="28">
        <v>80</v>
      </c>
    </row>
    <row r="5" spans="2:8" x14ac:dyDescent="0.3">
      <c r="B5" s="9" t="s">
        <v>9</v>
      </c>
      <c r="C5" s="3" t="s">
        <v>19</v>
      </c>
      <c r="D5" s="1" t="s">
        <v>27</v>
      </c>
      <c r="E5" s="1" t="s">
        <v>35</v>
      </c>
      <c r="F5" s="2">
        <v>45934</v>
      </c>
      <c r="G5" s="22">
        <v>900000</v>
      </c>
      <c r="H5" s="28">
        <v>120</v>
      </c>
    </row>
    <row r="6" spans="2:8" x14ac:dyDescent="0.3">
      <c r="B6" s="9" t="s">
        <v>12</v>
      </c>
      <c r="C6" s="3" t="s">
        <v>20</v>
      </c>
      <c r="D6" s="1" t="s">
        <v>28</v>
      </c>
      <c r="E6" s="1" t="s">
        <v>33</v>
      </c>
      <c r="F6" s="2">
        <v>45927</v>
      </c>
      <c r="G6" s="22">
        <v>1500000</v>
      </c>
      <c r="H6" s="28">
        <v>185</v>
      </c>
    </row>
    <row r="7" spans="2:8" x14ac:dyDescent="0.3">
      <c r="B7" s="9" t="s">
        <v>13</v>
      </c>
      <c r="C7" s="3" t="s">
        <v>21</v>
      </c>
      <c r="D7" s="1" t="s">
        <v>29</v>
      </c>
      <c r="E7" s="1" t="s">
        <v>35</v>
      </c>
      <c r="F7" s="2">
        <v>45938</v>
      </c>
      <c r="G7" s="22">
        <v>1100000</v>
      </c>
      <c r="H7" s="28">
        <v>115</v>
      </c>
    </row>
    <row r="8" spans="2:8" x14ac:dyDescent="0.3">
      <c r="B8" s="9" t="s">
        <v>14</v>
      </c>
      <c r="C8" s="3" t="s">
        <v>22</v>
      </c>
      <c r="D8" s="1" t="s">
        <v>30</v>
      </c>
      <c r="E8" s="1" t="s">
        <v>33</v>
      </c>
      <c r="F8" s="2">
        <v>45889</v>
      </c>
      <c r="G8" s="22">
        <v>3500000</v>
      </c>
      <c r="H8" s="28">
        <v>65</v>
      </c>
    </row>
    <row r="9" spans="2:8" x14ac:dyDescent="0.3">
      <c r="B9" s="9" t="s">
        <v>15</v>
      </c>
      <c r="C9" s="3" t="s">
        <v>23</v>
      </c>
      <c r="D9" s="1" t="s">
        <v>31</v>
      </c>
      <c r="E9" s="1" t="s">
        <v>33</v>
      </c>
      <c r="F9" s="2">
        <v>45965</v>
      </c>
      <c r="G9" s="22">
        <v>800000</v>
      </c>
      <c r="H9" s="28">
        <v>240</v>
      </c>
    </row>
    <row r="10" spans="2:8" x14ac:dyDescent="0.3">
      <c r="B10" s="11" t="s">
        <v>16</v>
      </c>
      <c r="C10" s="26" t="s">
        <v>24</v>
      </c>
      <c r="D10" s="4" t="s">
        <v>32</v>
      </c>
      <c r="E10" s="4" t="s">
        <v>34</v>
      </c>
      <c r="F10" s="5">
        <v>45899</v>
      </c>
      <c r="G10" s="23">
        <v>2200000</v>
      </c>
      <c r="H10" s="29">
        <v>50</v>
      </c>
    </row>
    <row r="11" spans="2:8" ht="17.25" thickBot="1" x14ac:dyDescent="0.35">
      <c r="B11" s="47" t="s">
        <v>40</v>
      </c>
      <c r="C11" s="48"/>
      <c r="D11" s="48"/>
      <c r="E11" s="48"/>
      <c r="F11" s="48"/>
      <c r="G11" s="48"/>
      <c r="H11" s="32">
        <f>DAVERAGE(B2:H10,H2,E2:E3)</f>
        <v>179.99999999999994</v>
      </c>
    </row>
    <row r="12" spans="2:8" ht="17.25" thickBot="1" x14ac:dyDescent="0.35"/>
    <row r="13" spans="2:8" ht="17.25" thickBot="1" x14ac:dyDescent="0.35">
      <c r="B13" s="18" t="s">
        <v>3</v>
      </c>
      <c r="C13" s="18" t="s">
        <v>5</v>
      </c>
    </row>
    <row r="14" spans="2:8" x14ac:dyDescent="0.3">
      <c r="B14" s="33" t="s">
        <v>41</v>
      </c>
      <c r="C14" s="34" t="s">
        <v>42</v>
      </c>
    </row>
    <row r="17" spans="2:5" ht="17.25" thickBot="1" x14ac:dyDescent="0.35"/>
    <row r="18" spans="2:5" ht="17.25" thickBot="1" x14ac:dyDescent="0.35">
      <c r="B18" s="18" t="s">
        <v>1</v>
      </c>
      <c r="C18" s="18" t="s">
        <v>2</v>
      </c>
      <c r="D18" s="18" t="s">
        <v>5</v>
      </c>
      <c r="E18" s="18" t="s">
        <v>6</v>
      </c>
    </row>
    <row r="19" spans="2:5" x14ac:dyDescent="0.3">
      <c r="B19" s="3" t="s">
        <v>18</v>
      </c>
      <c r="C19" s="1" t="s">
        <v>26</v>
      </c>
      <c r="D19" s="22">
        <v>2500000</v>
      </c>
      <c r="E19" s="28">
        <v>80</v>
      </c>
    </row>
    <row r="20" spans="2:5" x14ac:dyDescent="0.3">
      <c r="B20" s="3" t="s">
        <v>21</v>
      </c>
      <c r="C20" s="1" t="s">
        <v>29</v>
      </c>
      <c r="D20" s="22">
        <v>1100000</v>
      </c>
      <c r="E20" s="28">
        <v>115</v>
      </c>
    </row>
    <row r="21" spans="2:5" x14ac:dyDescent="0.3">
      <c r="B21" s="26" t="s">
        <v>24</v>
      </c>
      <c r="C21" s="4" t="s">
        <v>32</v>
      </c>
      <c r="D21" s="23">
        <v>2200000</v>
      </c>
      <c r="E21" s="29">
        <v>50</v>
      </c>
    </row>
  </sheetData>
  <mergeCells count="1">
    <mergeCell ref="B11:G11"/>
  </mergeCells>
  <phoneticPr fontId="1" type="noConversion"/>
  <conditionalFormatting sqref="B3:H10">
    <cfRule type="expression" dxfId="1" priority="3">
      <formula>$G3&gt;1999999</formula>
    </cfRule>
  </conditionalFormatting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4EDA-9111-4823-9C3B-D07CA26C0488}">
  <dimension ref="B1:H18"/>
  <sheetViews>
    <sheetView workbookViewId="0">
      <selection activeCell="N14" sqref="N14"/>
    </sheetView>
  </sheetViews>
  <sheetFormatPr defaultRowHeight="16.5" x14ac:dyDescent="0.3"/>
  <cols>
    <col min="3" max="3" width="12.875" bestFit="1" customWidth="1"/>
    <col min="5" max="5" width="11.875" bestFit="1" customWidth="1"/>
    <col min="6" max="6" width="12.5" bestFit="1" customWidth="1"/>
    <col min="7" max="7" width="12.375" bestFit="1" customWidth="1"/>
  </cols>
  <sheetData>
    <row r="1" spans="2:8" ht="17.25" thickBot="1" x14ac:dyDescent="0.35"/>
    <row r="2" spans="2:8" ht="17.25" thickBot="1" x14ac:dyDescent="0.35">
      <c r="B2" s="17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</row>
    <row r="3" spans="2:8" x14ac:dyDescent="0.3">
      <c r="B3" s="13" t="s">
        <v>9</v>
      </c>
      <c r="C3" s="25" t="s">
        <v>19</v>
      </c>
      <c r="D3" s="14" t="s">
        <v>27</v>
      </c>
      <c r="E3" s="14" t="s">
        <v>35</v>
      </c>
      <c r="F3" s="15">
        <v>45934</v>
      </c>
      <c r="G3" s="21">
        <v>900000</v>
      </c>
      <c r="H3" s="27">
        <v>120</v>
      </c>
    </row>
    <row r="4" spans="2:8" x14ac:dyDescent="0.3">
      <c r="B4" s="9" t="s">
        <v>13</v>
      </c>
      <c r="C4" s="3" t="s">
        <v>21</v>
      </c>
      <c r="D4" s="1" t="s">
        <v>29</v>
      </c>
      <c r="E4" s="1" t="s">
        <v>35</v>
      </c>
      <c r="F4" s="2">
        <v>45938</v>
      </c>
      <c r="G4" s="22">
        <v>1100000</v>
      </c>
      <c r="H4" s="28">
        <v>115</v>
      </c>
    </row>
    <row r="5" spans="2:8" x14ac:dyDescent="0.3">
      <c r="B5" s="9"/>
      <c r="C5" s="3"/>
      <c r="D5" s="1"/>
      <c r="E5" s="35" t="s">
        <v>47</v>
      </c>
      <c r="F5" s="2"/>
      <c r="G5" s="22"/>
      <c r="H5" s="28">
        <f>SUBTOTAL(1,H3:H4)</f>
        <v>117.5</v>
      </c>
    </row>
    <row r="6" spans="2:8" x14ac:dyDescent="0.3">
      <c r="B6" s="9"/>
      <c r="C6" s="3">
        <f>SUBTOTAL(3,C3:C4)</f>
        <v>2</v>
      </c>
      <c r="D6" s="1"/>
      <c r="E6" s="35" t="s">
        <v>43</v>
      </c>
      <c r="F6" s="2"/>
      <c r="G6" s="22"/>
      <c r="H6" s="28"/>
    </row>
    <row r="7" spans="2:8" x14ac:dyDescent="0.3">
      <c r="B7" s="9" t="s">
        <v>11</v>
      </c>
      <c r="C7" s="3" t="s">
        <v>17</v>
      </c>
      <c r="D7" s="1" t="s">
        <v>25</v>
      </c>
      <c r="E7" s="1" t="s">
        <v>33</v>
      </c>
      <c r="F7" s="2">
        <v>45913</v>
      </c>
      <c r="G7" s="22">
        <v>1200000</v>
      </c>
      <c r="H7" s="28">
        <v>210</v>
      </c>
    </row>
    <row r="8" spans="2:8" x14ac:dyDescent="0.3">
      <c r="B8" s="9" t="s">
        <v>12</v>
      </c>
      <c r="C8" s="3" t="s">
        <v>20</v>
      </c>
      <c r="D8" s="1" t="s">
        <v>28</v>
      </c>
      <c r="E8" s="1" t="s">
        <v>33</v>
      </c>
      <c r="F8" s="2">
        <v>45927</v>
      </c>
      <c r="G8" s="22">
        <v>1500000</v>
      </c>
      <c r="H8" s="28">
        <v>185</v>
      </c>
    </row>
    <row r="9" spans="2:8" x14ac:dyDescent="0.3">
      <c r="B9" s="9" t="s">
        <v>14</v>
      </c>
      <c r="C9" s="3" t="s">
        <v>22</v>
      </c>
      <c r="D9" s="1" t="s">
        <v>30</v>
      </c>
      <c r="E9" s="1" t="s">
        <v>33</v>
      </c>
      <c r="F9" s="2">
        <v>45889</v>
      </c>
      <c r="G9" s="22">
        <v>3500000</v>
      </c>
      <c r="H9" s="28">
        <v>65</v>
      </c>
    </row>
    <row r="10" spans="2:8" x14ac:dyDescent="0.3">
      <c r="B10" s="9" t="s">
        <v>15</v>
      </c>
      <c r="C10" s="3" t="s">
        <v>23</v>
      </c>
      <c r="D10" s="1" t="s">
        <v>31</v>
      </c>
      <c r="E10" s="1" t="s">
        <v>33</v>
      </c>
      <c r="F10" s="2">
        <v>45965</v>
      </c>
      <c r="G10" s="22">
        <v>800000</v>
      </c>
      <c r="H10" s="28">
        <v>240</v>
      </c>
    </row>
    <row r="11" spans="2:8" x14ac:dyDescent="0.3">
      <c r="B11" s="9"/>
      <c r="C11" s="3"/>
      <c r="D11" s="1"/>
      <c r="E11" s="35" t="s">
        <v>48</v>
      </c>
      <c r="F11" s="2"/>
      <c r="G11" s="22"/>
      <c r="H11" s="28">
        <f>SUBTOTAL(1,H7:H10)</f>
        <v>175</v>
      </c>
    </row>
    <row r="12" spans="2:8" x14ac:dyDescent="0.3">
      <c r="B12" s="9"/>
      <c r="C12" s="3">
        <f>SUBTOTAL(3,C7:C10)</f>
        <v>4</v>
      </c>
      <c r="D12" s="1"/>
      <c r="E12" s="35" t="s">
        <v>44</v>
      </c>
      <c r="F12" s="2"/>
      <c r="G12" s="22"/>
      <c r="H12" s="28"/>
    </row>
    <row r="13" spans="2:8" x14ac:dyDescent="0.3">
      <c r="B13" s="9" t="s">
        <v>10</v>
      </c>
      <c r="C13" s="3" t="s">
        <v>18</v>
      </c>
      <c r="D13" s="1" t="s">
        <v>26</v>
      </c>
      <c r="E13" s="1" t="s">
        <v>34</v>
      </c>
      <c r="F13" s="2">
        <v>45945</v>
      </c>
      <c r="G13" s="22">
        <v>2500000</v>
      </c>
      <c r="H13" s="28">
        <v>80</v>
      </c>
    </row>
    <row r="14" spans="2:8" x14ac:dyDescent="0.3">
      <c r="B14" s="11" t="s">
        <v>16</v>
      </c>
      <c r="C14" s="26" t="s">
        <v>24</v>
      </c>
      <c r="D14" s="4" t="s">
        <v>32</v>
      </c>
      <c r="E14" s="4" t="s">
        <v>34</v>
      </c>
      <c r="F14" s="5">
        <v>45899</v>
      </c>
      <c r="G14" s="23">
        <v>2200000</v>
      </c>
      <c r="H14" s="29">
        <v>50</v>
      </c>
    </row>
    <row r="15" spans="2:8" x14ac:dyDescent="0.3">
      <c r="B15" s="33"/>
      <c r="C15" s="36"/>
      <c r="D15" s="33"/>
      <c r="E15" s="40" t="s">
        <v>49</v>
      </c>
      <c r="F15" s="37"/>
      <c r="G15" s="38"/>
      <c r="H15" s="39">
        <f>SUBTOTAL(1,H13:H14)</f>
        <v>65</v>
      </c>
    </row>
    <row r="16" spans="2:8" x14ac:dyDescent="0.3">
      <c r="B16" s="33"/>
      <c r="C16" s="36">
        <f>SUBTOTAL(3,C13:C14)</f>
        <v>2</v>
      </c>
      <c r="D16" s="33"/>
      <c r="E16" s="40" t="s">
        <v>45</v>
      </c>
      <c r="F16" s="37"/>
      <c r="G16" s="38"/>
      <c r="H16" s="39"/>
    </row>
    <row r="17" spans="2:8" x14ac:dyDescent="0.3">
      <c r="B17" s="33"/>
      <c r="C17" s="36"/>
      <c r="D17" s="33"/>
      <c r="E17" s="40" t="s">
        <v>50</v>
      </c>
      <c r="F17" s="37"/>
      <c r="G17" s="38"/>
      <c r="H17" s="39">
        <f>SUBTOTAL(1,H3:H14)</f>
        <v>133.125</v>
      </c>
    </row>
    <row r="18" spans="2:8" x14ac:dyDescent="0.3">
      <c r="B18" s="33"/>
      <c r="C18" s="36">
        <f>SUBTOTAL(3,C3:C14)</f>
        <v>8</v>
      </c>
      <c r="D18" s="33"/>
      <c r="E18" s="40" t="s">
        <v>46</v>
      </c>
      <c r="F18" s="37"/>
      <c r="G18" s="38"/>
      <c r="H18" s="39"/>
    </row>
  </sheetData>
  <sortState xmlns:xlrd2="http://schemas.microsoft.com/office/spreadsheetml/2017/richdata2" ref="B3:H14">
    <sortCondition descending="1" ref="E2:E14"/>
  </sortState>
  <phoneticPr fontId="1" type="noConversion"/>
  <conditionalFormatting sqref="B3:H18">
    <cfRule type="expression" dxfId="0" priority="1">
      <formula>$G3&gt;1999999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DD2C22-0B5D-4F76-A91D-5CAE018E66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제1작업</vt:lpstr>
      <vt:lpstr>제2작업</vt:lpstr>
      <vt:lpstr>제3작업</vt:lpstr>
      <vt:lpstr>제4작업</vt:lpstr>
      <vt:lpstr>제2작업!Criteria</vt:lpstr>
      <vt:lpstr>제2작업!Extract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 윤현</cp:lastModifiedBy>
  <dcterms:created xsi:type="dcterms:W3CDTF">2026-03-10T06:25:21Z</dcterms:created>
  <dcterms:modified xsi:type="dcterms:W3CDTF">2026-04-14T06:33:52Z</dcterms:modified>
</cp:coreProperties>
</file>